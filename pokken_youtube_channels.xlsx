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annels" sheetId="1" state="visible" r:id="rId3"/>
    <sheet name="Summary" sheetId="2" state="visible" r:id="rId4"/>
  </sheets>
  <definedNames>
    <definedName function="false" hidden="true" localSheetId="0" name="_xlnm._FilterDatabase" vbProcedure="false">Channels!$A$1:$K$121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<sst xmlns="http://schemas.openxmlformats.org/spreadsheetml/2006/main" count="999" uniqueCount="580">
  <si>
    <t xml:space="preserve">Channel</t>
  </si>
  <si>
    <t xml:space="preserve">URL</t>
  </si>
  <si>
    <t xml:space="preserve">Subscribers (#)</t>
  </si>
  <si>
    <t xml:space="preserve">Subscribers</t>
  </si>
  <si>
    <t xml:space="preserve">Total Videos</t>
  </si>
  <si>
    <t xml:space="preserve">Latest Upload</t>
  </si>
  <si>
    <t xml:space="preserve">Search Appearances</t>
  </si>
  <si>
    <t xml:space="preserve">Pokken-Focused?</t>
  </si>
  <si>
    <t xml:space="preserve">Algorithm-Suggested?</t>
  </si>
  <si>
    <t xml:space="preserve">Language</t>
  </si>
  <si>
    <t xml:space="preserve">Source Searches</t>
  </si>
  <si>
    <t xml:space="preserve">IGN</t>
  </si>
  <si>
    <t xml:space="preserve">https://www.youtube.com/@IGN</t>
  </si>
  <si>
    <t xml:space="preserve">19.80M</t>
  </si>
  <si>
    <t xml:space="preserve">179K videos</t>
  </si>
  <si>
    <t xml:space="preserve">2 hours ago</t>
  </si>
  <si>
    <t xml:space="preserve">No</t>
  </si>
  <si>
    <t xml:space="preserve">EN</t>
  </si>
  <si>
    <t xml:space="preserve">search:pokken+dx</t>
  </si>
  <si>
    <t xml:space="preserve">Adult Swim</t>
  </si>
  <si>
    <t xml:space="preserve">https://www.youtube.com/@adultswim</t>
  </si>
  <si>
    <t xml:space="preserve">8.14M</t>
  </si>
  <si>
    <t xml:space="preserve">8.6K videos</t>
  </si>
  <si>
    <t xml:space="preserve">5 hours ago</t>
  </si>
  <si>
    <t xml:space="preserve">The Official Pokemon YouTube channel</t>
  </si>
  <si>
    <t xml:space="preserve">https://www.youtube.com/@pokemon</t>
  </si>
  <si>
    <t xml:space="preserve">6.89M</t>
  </si>
  <si>
    <t xml:space="preserve">3.9K videos</t>
  </si>
  <si>
    <t xml:space="preserve">—</t>
  </si>
  <si>
    <t xml:space="preserve">Likely</t>
  </si>
  <si>
    <t xml:space="preserve">search:pokken+tournament, search:pokken+match, search:top8</t>
  </si>
  <si>
    <t xml:space="preserve">GameSpot</t>
  </si>
  <si>
    <t xml:space="preserve">https://www.youtube.com/@gamespot</t>
  </si>
  <si>
    <t xml:space="preserve">5.67M</t>
  </si>
  <si>
    <t xml:space="preserve">41K videos</t>
  </si>
  <si>
    <t xml:space="preserve">Maybe</t>
  </si>
  <si>
    <t xml:space="preserve">search:pokken+tournament, search:pokken-jp</t>
  </si>
  <si>
    <t xml:space="preserve">ProsafiaGaming</t>
  </si>
  <si>
    <t xml:space="preserve">https://www.youtube.com/@ProsafiaGaming</t>
  </si>
  <si>
    <t xml:space="preserve">5.17M</t>
  </si>
  <si>
    <t xml:space="preserve">2.4K videos</t>
  </si>
  <si>
    <t xml:space="preserve">6 days ago</t>
  </si>
  <si>
    <t xml:space="preserve">search:pokken+match</t>
  </si>
  <si>
    <r>
      <rPr>
        <sz val="11"/>
        <rFont val="Arial"/>
        <family val="0"/>
        <charset val="1"/>
      </rPr>
      <t xml:space="preserve">Pokemon Official JP (</t>
    </r>
    <r>
      <rPr>
        <sz val="11"/>
        <rFont val="DejaVu Sans"/>
        <family val="2"/>
      </rPr>
      <t xml:space="preserve">ポケモン公式</t>
    </r>
    <r>
      <rPr>
        <sz val="11"/>
        <rFont val="Arial"/>
        <family val="0"/>
        <charset val="1"/>
      </rPr>
      <t xml:space="preserve">YouTube</t>
    </r>
    <r>
      <rPr>
        <sz val="11"/>
        <rFont val="DejaVu Sans"/>
        <family val="2"/>
      </rPr>
      <t xml:space="preserve">チャンネル</t>
    </r>
    <r>
      <rPr>
        <sz val="11"/>
        <rFont val="Arial"/>
        <family val="0"/>
        <charset val="1"/>
      </rPr>
      <t xml:space="preserve">)</t>
    </r>
  </si>
  <si>
    <t xml:space="preserve">https://www.youtube.com/@PokemonCoJp</t>
  </si>
  <si>
    <t xml:space="preserve">3.97M</t>
  </si>
  <si>
    <t xml:space="preserve">17 hours ago</t>
  </si>
  <si>
    <t xml:space="preserve">JP</t>
  </si>
  <si>
    <t xml:space="preserve">search:pokken-jp, search:JP-tournament</t>
  </si>
  <si>
    <r>
      <rPr>
        <sz val="11"/>
        <rFont val="Arial"/>
        <family val="0"/>
        <charset val="1"/>
      </rPr>
      <t xml:space="preserve">Nintendo JP (Nintendo </t>
    </r>
    <r>
      <rPr>
        <sz val="11"/>
        <rFont val="DejaVu Sans"/>
        <family val="2"/>
      </rPr>
      <t xml:space="preserve">公式チャンネル</t>
    </r>
    <r>
      <rPr>
        <sz val="11"/>
        <rFont val="Arial"/>
        <family val="0"/>
        <charset val="1"/>
      </rPr>
      <t xml:space="preserve">)</t>
    </r>
  </si>
  <si>
    <t xml:space="preserve">https://www.youtube.com/@NintendoJP</t>
  </si>
  <si>
    <t xml:space="preserve">3.64M</t>
  </si>
  <si>
    <t xml:space="preserve">3.5K videos</t>
  </si>
  <si>
    <t xml:space="preserve">search:pokken-jp</t>
  </si>
  <si>
    <t xml:space="preserve">MandJTV</t>
  </si>
  <si>
    <t xml:space="preserve">https://www.youtube.com/@MandJTV</t>
  </si>
  <si>
    <t xml:space="preserve">2.61M</t>
  </si>
  <si>
    <t xml:space="preserve">1.2K videos</t>
  </si>
  <si>
    <t xml:space="preserve">9 days ago</t>
  </si>
  <si>
    <t xml:space="preserve">Titans Volleyball</t>
  </si>
  <si>
    <t xml:space="preserve">https://www.youtube.com/@TitansVolleyball</t>
  </si>
  <si>
    <t xml:space="preserve">2.03M</t>
  </si>
  <si>
    <t xml:space="preserve">3K videos</t>
  </si>
  <si>
    <t xml:space="preserve">21 hours ago</t>
  </si>
  <si>
    <t xml:space="preserve">Bandai Namco Entertainment</t>
  </si>
  <si>
    <t xml:space="preserve">https://www.youtube.com/@bandainamcoentertainment</t>
  </si>
  <si>
    <t xml:space="preserve">1.97M</t>
  </si>
  <si>
    <t xml:space="preserve">9.7K videos</t>
  </si>
  <si>
    <t xml:space="preserve">23 hours ago</t>
  </si>
  <si>
    <t xml:space="preserve">Asmongold Clips</t>
  </si>
  <si>
    <t xml:space="preserve">https://www.youtube.com/@AsmongoldClips</t>
  </si>
  <si>
    <t xml:space="preserve">1.75M</t>
  </si>
  <si>
    <t xml:space="preserve">4.5K videos</t>
  </si>
  <si>
    <t xml:space="preserve">search:pokken+combos</t>
  </si>
  <si>
    <t xml:space="preserve">GamingBolt</t>
  </si>
  <si>
    <t xml:space="preserve">https://www.youtube.com/@GamingBolt</t>
  </si>
  <si>
    <t xml:space="preserve">1.34M</t>
  </si>
  <si>
    <t xml:space="preserve">8.8K videos</t>
  </si>
  <si>
    <t xml:space="preserve">7 hours ago</t>
  </si>
  <si>
    <t xml:space="preserve">LeftBurst</t>
  </si>
  <si>
    <t xml:space="preserve">https://www.youtube.com/@LeftBurst</t>
  </si>
  <si>
    <t xml:space="preserve">1.03M</t>
  </si>
  <si>
    <t xml:space="preserve">1K videos</t>
  </si>
  <si>
    <t xml:space="preserve">4 days ago</t>
  </si>
  <si>
    <t xml:space="preserve">NDY</t>
  </si>
  <si>
    <t xml:space="preserve">https://www.youtube.com/@Ndy</t>
  </si>
  <si>
    <t xml:space="preserve">876.0K</t>
  </si>
  <si>
    <t xml:space="preserve">48 videos</t>
  </si>
  <si>
    <t xml:space="preserve">Nintendo Life</t>
  </si>
  <si>
    <t xml:space="preserve">https://www.youtube.com/@nintendolife</t>
  </si>
  <si>
    <t xml:space="preserve">845.0K</t>
  </si>
  <si>
    <t xml:space="preserve">2 days ago</t>
  </si>
  <si>
    <t xml:space="preserve">search:pokken+guide</t>
  </si>
  <si>
    <t xml:space="preserve">Pedro Araujo</t>
  </si>
  <si>
    <t xml:space="preserve">https://www.youtube.com/@PedroAraujoStudio</t>
  </si>
  <si>
    <t xml:space="preserve">734.0K</t>
  </si>
  <si>
    <t xml:space="preserve">363 videos</t>
  </si>
  <si>
    <t xml:space="preserve">13d ago</t>
  </si>
  <si>
    <t xml:space="preserve">search:pokken+match, search:pokken+guide</t>
  </si>
  <si>
    <t xml:space="preserve">Cwitchy</t>
  </si>
  <si>
    <t xml:space="preserve">https://www.youtube.com/@Cwitchy</t>
  </si>
  <si>
    <t xml:space="preserve">710.0K</t>
  </si>
  <si>
    <t xml:space="preserve">584 videos</t>
  </si>
  <si>
    <t xml:space="preserve">13 days ago</t>
  </si>
  <si>
    <t xml:space="preserve">search:pokken+dx, search:pokken+combos</t>
  </si>
  <si>
    <t xml:space="preserve">shofu</t>
  </si>
  <si>
    <t xml:space="preserve">https://www.youtube.com/@shofu</t>
  </si>
  <si>
    <t xml:space="preserve">669.0K</t>
  </si>
  <si>
    <t xml:space="preserve">2.9K videos</t>
  </si>
  <si>
    <t xml:space="preserve">3 hours ago</t>
  </si>
  <si>
    <t xml:space="preserve">zwiggo</t>
  </si>
  <si>
    <t xml:space="preserve">https://www.youtube.com/@Zwigg0</t>
  </si>
  <si>
    <t xml:space="preserve">628.0K</t>
  </si>
  <si>
    <t xml:space="preserve">357 videos</t>
  </si>
  <si>
    <t xml:space="preserve">3 days ago</t>
  </si>
  <si>
    <t xml:space="preserve">search:pokken+tournament, search:pokken+dx, search:pokken+combos, search:pokken+match, search:pokken+guide</t>
  </si>
  <si>
    <r>
      <rPr>
        <sz val="11"/>
        <rFont val="Arial"/>
        <family val="0"/>
        <charset val="1"/>
      </rPr>
      <t xml:space="preserve">Kyou Poke ch. (</t>
    </r>
    <r>
      <rPr>
        <sz val="11"/>
        <rFont val="DejaVu Sans"/>
        <family val="2"/>
      </rPr>
      <t xml:space="preserve">今日ポケ</t>
    </r>
    <r>
      <rPr>
        <sz val="11"/>
        <rFont val="Arial"/>
        <family val="0"/>
        <charset val="1"/>
      </rPr>
      <t xml:space="preserve">ch.)</t>
    </r>
  </si>
  <si>
    <t xml:space="preserve">https://www.youtube.com/@KYOUPOKE</t>
  </si>
  <si>
    <t xml:space="preserve">621.0K</t>
  </si>
  <si>
    <t xml:space="preserve">1.4K videos</t>
  </si>
  <si>
    <t xml:space="preserve">48 minutes ago</t>
  </si>
  <si>
    <t xml:space="preserve">Yes</t>
  </si>
  <si>
    <t xml:space="preserve">Nintendo UK</t>
  </si>
  <si>
    <t xml:space="preserve">https://www.youtube.com/@NintendoUK</t>
  </si>
  <si>
    <t xml:space="preserve">565.0K</t>
  </si>
  <si>
    <t xml:space="preserve">4.3K videos</t>
  </si>
  <si>
    <t xml:space="preserve">1 day ago</t>
  </si>
  <si>
    <t xml:space="preserve">Hidden Machine</t>
  </si>
  <si>
    <t xml:space="preserve">https://www.youtube.com/@hidden_machine</t>
  </si>
  <si>
    <t xml:space="preserve">553.0K</t>
  </si>
  <si>
    <t xml:space="preserve">63 videos</t>
  </si>
  <si>
    <t xml:space="preserve">6mo ago</t>
  </si>
  <si>
    <t xml:space="preserve">False Swipe Gaming</t>
  </si>
  <si>
    <t xml:space="preserve">https://www.youtube.com/@FalseSwipeGaming</t>
  </si>
  <si>
    <t xml:space="preserve">499.0K</t>
  </si>
  <si>
    <t xml:space="preserve">602 videos</t>
  </si>
  <si>
    <t xml:space="preserve">Mayo</t>
  </si>
  <si>
    <t xml:space="preserve">https://www.youtube.com/@funnyhoohooman</t>
  </si>
  <si>
    <t xml:space="preserve">447.0K</t>
  </si>
  <si>
    <t xml:space="preserve">153 videos</t>
  </si>
  <si>
    <t xml:space="preserve">MrBrauza</t>
  </si>
  <si>
    <t xml:space="preserve">https://www.youtube.com/@MrBrauza</t>
  </si>
  <si>
    <t xml:space="preserve">385.0K</t>
  </si>
  <si>
    <t xml:space="preserve">424 videos</t>
  </si>
  <si>
    <t xml:space="preserve">1 year ago</t>
  </si>
  <si>
    <t xml:space="preserve">Akshon</t>
  </si>
  <si>
    <t xml:space="preserve">https://www.youtube.com/@Akshonmedia</t>
  </si>
  <si>
    <t xml:space="preserve">370.0K</t>
  </si>
  <si>
    <t xml:space="preserve">2K videos</t>
  </si>
  <si>
    <t xml:space="preserve">search:pokken+tournament, search:pokken+dx</t>
  </si>
  <si>
    <t xml:space="preserve">Grey Fang</t>
  </si>
  <si>
    <t xml:space="preserve">https://www.youtube.com/@GreyFang</t>
  </si>
  <si>
    <t xml:space="preserve">343.0K</t>
  </si>
  <si>
    <t xml:space="preserve">17h ago</t>
  </si>
  <si>
    <t xml:space="preserve">Viz</t>
  </si>
  <si>
    <t xml:space="preserve">https://www.youtube.com/@viz</t>
  </si>
  <si>
    <t xml:space="preserve">314.0K</t>
  </si>
  <si>
    <t xml:space="preserve">2.6K videos</t>
  </si>
  <si>
    <t xml:space="preserve">4 months ago</t>
  </si>
  <si>
    <t xml:space="preserve">search:pokken+dx, search:pokken+combos, search:pokken+guide</t>
  </si>
  <si>
    <t xml:space="preserve">Mike Geno</t>
  </si>
  <si>
    <t xml:space="preserve">https://www.youtube.com/channel/UCyDQKOgEjuIiuPXctcuQKlg</t>
  </si>
  <si>
    <t xml:space="preserve">308.0K</t>
  </si>
  <si>
    <t xml:space="preserve">427 videos</t>
  </si>
  <si>
    <t xml:space="preserve">3 months ago</t>
  </si>
  <si>
    <t xml:space="preserve">Olexa</t>
  </si>
  <si>
    <t xml:space="preserve">https://www.youtube.com/@OlexaYT</t>
  </si>
  <si>
    <t xml:space="preserve">275.0K</t>
  </si>
  <si>
    <t xml:space="preserve">6.2K videos</t>
  </si>
  <si>
    <t xml:space="preserve">8h ago</t>
  </si>
  <si>
    <t xml:space="preserve">AldiMods</t>
  </si>
  <si>
    <t xml:space="preserve">https://www.youtube.com/@AldiMods</t>
  </si>
  <si>
    <t xml:space="preserve">269.0K</t>
  </si>
  <si>
    <t xml:space="preserve">168 videos</t>
  </si>
  <si>
    <t xml:space="preserve">Mash</t>
  </si>
  <si>
    <t xml:space="preserve">https://www.youtube.com/@Mash9000</t>
  </si>
  <si>
    <t xml:space="preserve">245.0K</t>
  </si>
  <si>
    <t xml:space="preserve">527 videos</t>
  </si>
  <si>
    <t xml:space="preserve">search:pokken+combos, search:pokken+match</t>
  </si>
  <si>
    <t xml:space="preserve">Frapollo94</t>
  </si>
  <si>
    <t xml:space="preserve">https://www.youtube.com/@frapollo94</t>
  </si>
  <si>
    <t xml:space="preserve">216.0K</t>
  </si>
  <si>
    <t xml:space="preserve">792 videos</t>
  </si>
  <si>
    <t xml:space="preserve">7 months ago</t>
  </si>
  <si>
    <t xml:space="preserve">BOSSFIGHT</t>
  </si>
  <si>
    <t xml:space="preserve">https://www.youtube.com/channel/UCTK4l10G77oDhOjIaxS3vcQ</t>
  </si>
  <si>
    <t xml:space="preserve">197.0K</t>
  </si>
  <si>
    <t xml:space="preserve">217 videos</t>
  </si>
  <si>
    <t xml:space="preserve">1mo ago</t>
  </si>
  <si>
    <t xml:space="preserve">search:pokken+tournament</t>
  </si>
  <si>
    <t xml:space="preserve">Underdogs Gaming</t>
  </si>
  <si>
    <t xml:space="preserve">https://www.youtube.com/@UnderdogsGaming</t>
  </si>
  <si>
    <t xml:space="preserve">191.0K</t>
  </si>
  <si>
    <t xml:space="preserve">758 videos</t>
  </si>
  <si>
    <r>
      <rPr>
        <sz val="11"/>
        <rFont val="Arial"/>
        <family val="0"/>
        <charset val="1"/>
      </rPr>
      <t xml:space="preserve">Mita (</t>
    </r>
    <r>
      <rPr>
        <sz val="11"/>
        <rFont val="DejaVu Sans"/>
        <family val="2"/>
      </rPr>
      <t xml:space="preserve">ミタ</t>
    </r>
    <r>
      <rPr>
        <sz val="11"/>
        <rFont val="Arial"/>
        <family val="0"/>
        <charset val="1"/>
      </rPr>
      <t xml:space="preserve">)</t>
    </r>
  </si>
  <si>
    <t xml:space="preserve">https://www.youtube.com/@%E3%83%9F%E3%82%BF</t>
  </si>
  <si>
    <t xml:space="preserve">163.0K</t>
  </si>
  <si>
    <t xml:space="preserve">900 videos</t>
  </si>
  <si>
    <t xml:space="preserve">NS Sweat</t>
  </si>
  <si>
    <t xml:space="preserve">https://www.youtube.com/@NSSweat</t>
  </si>
  <si>
    <t xml:space="preserve">161.0K</t>
  </si>
  <si>
    <t xml:space="preserve">2 weeks ago</t>
  </si>
  <si>
    <t xml:space="preserve">Panda</t>
  </si>
  <si>
    <t xml:space="preserve">https://www.youtube.com/@PandaGlobal</t>
  </si>
  <si>
    <t xml:space="preserve">150.0K</t>
  </si>
  <si>
    <t xml:space="preserve">987 videos</t>
  </si>
  <si>
    <t xml:space="preserve">3y ago</t>
  </si>
  <si>
    <t xml:space="preserve">search:top8</t>
  </si>
  <si>
    <t xml:space="preserve">Jimothy Cool</t>
  </si>
  <si>
    <t xml:space="preserve">https://www.youtube.com/@jimothycool</t>
  </si>
  <si>
    <t xml:space="preserve">148.0K</t>
  </si>
  <si>
    <t xml:space="preserve">12 hours ago</t>
  </si>
  <si>
    <t xml:space="preserve">GameBurst</t>
  </si>
  <si>
    <t xml:space="preserve">https://www.youtube.com/@GameBurst</t>
  </si>
  <si>
    <t xml:space="preserve">130.0K</t>
  </si>
  <si>
    <t xml:space="preserve">4.4K videos</t>
  </si>
  <si>
    <t xml:space="preserve">10 hours ago</t>
  </si>
  <si>
    <t xml:space="preserve">search:pokken+dx, search:pokken+match, search:pokken+guide</t>
  </si>
  <si>
    <t xml:space="preserve">Finn Tran</t>
  </si>
  <si>
    <t xml:space="preserve">https://www.youtube.com/@FinnTran</t>
  </si>
  <si>
    <t xml:space="preserve">122.0K</t>
  </si>
  <si>
    <t xml:space="preserve">36 videos</t>
  </si>
  <si>
    <t xml:space="preserve">3 weeks ago</t>
  </si>
  <si>
    <t xml:space="preserve">search:pokken+combos, search:pokken+guide</t>
  </si>
  <si>
    <t xml:space="preserve">StrawHatMidas</t>
  </si>
  <si>
    <t xml:space="preserve">https://www.youtube.com/@StrawHatMidas</t>
  </si>
  <si>
    <t xml:space="preserve">103.0K</t>
  </si>
  <si>
    <t xml:space="preserve">372 videos</t>
  </si>
  <si>
    <t xml:space="preserve">KR Gaming</t>
  </si>
  <si>
    <t xml:space="preserve">https://www.youtube.com/@KRGaming123</t>
  </si>
  <si>
    <t xml:space="preserve">90.7K</t>
  </si>
  <si>
    <t xml:space="preserve">256 videos</t>
  </si>
  <si>
    <t xml:space="preserve">2 months ago</t>
  </si>
  <si>
    <t xml:space="preserve">Joereo</t>
  </si>
  <si>
    <t xml:space="preserve">https://www.youtube.com/@Joereo</t>
  </si>
  <si>
    <t xml:space="preserve">83.5K</t>
  </si>
  <si>
    <t xml:space="preserve">1.3K videos</t>
  </si>
  <si>
    <t xml:space="preserve">Hi! Buff Gigas Please?</t>
  </si>
  <si>
    <t xml:space="preserve">https://www.youtube.com/@buffgigas</t>
  </si>
  <si>
    <t xml:space="preserve">73.0K</t>
  </si>
  <si>
    <t xml:space="preserve">302 videos</t>
  </si>
  <si>
    <t xml:space="preserve">search:pokken+tournament, search:pokken-jp, search:pokken+combos</t>
  </si>
  <si>
    <t xml:space="preserve">Kobaryo</t>
  </si>
  <si>
    <t xml:space="preserve">https://www.youtube.com/channel/UCdOEmZem1Bn_V84wBiFWN6g</t>
  </si>
  <si>
    <t xml:space="preserve">66.0K</t>
  </si>
  <si>
    <t xml:space="preserve">133 videos</t>
  </si>
  <si>
    <t xml:space="preserve">15 hours ago</t>
  </si>
  <si>
    <t xml:space="preserve">Beak Brush Animations</t>
  </si>
  <si>
    <t xml:space="preserve">https://www.youtube.com/@BeakBrush</t>
  </si>
  <si>
    <t xml:space="preserve">64.2K</t>
  </si>
  <si>
    <t xml:space="preserve">109 videos</t>
  </si>
  <si>
    <t xml:space="preserve">PapaLobster</t>
  </si>
  <si>
    <t xml:space="preserve">https://www.youtube.com/@PapaLobster</t>
  </si>
  <si>
    <t xml:space="preserve">54.0K</t>
  </si>
  <si>
    <t xml:space="preserve">51 videos</t>
  </si>
  <si>
    <t xml:space="preserve">1 month ago</t>
  </si>
  <si>
    <t xml:space="preserve">DeWarioFreak</t>
  </si>
  <si>
    <t xml:space="preserve">https://www.youtube.com/@DeWarioFreak</t>
  </si>
  <si>
    <t xml:space="preserve">52.9K</t>
  </si>
  <si>
    <t xml:space="preserve">188 videos</t>
  </si>
  <si>
    <t xml:space="preserve">Rukatu</t>
  </si>
  <si>
    <t xml:space="preserve">https://www.youtube.com/@Rukariia</t>
  </si>
  <si>
    <t xml:space="preserve">45.8K</t>
  </si>
  <si>
    <t xml:space="preserve">169 videos</t>
  </si>
  <si>
    <t xml:space="preserve">search:pokken+dx, search:pokken+combos, search:pokken+match</t>
  </si>
  <si>
    <t xml:space="preserve">levelupseries</t>
  </si>
  <si>
    <t xml:space="preserve">https://www.youtube.com/@level-up</t>
  </si>
  <si>
    <t xml:space="preserve">45.5K</t>
  </si>
  <si>
    <t xml:space="preserve">5 months ago</t>
  </si>
  <si>
    <t xml:space="preserve">Professor Rex</t>
  </si>
  <si>
    <t xml:space="preserve">https://www.youtube.com/@ProfessorRex</t>
  </si>
  <si>
    <t xml:space="preserve">43.3K</t>
  </si>
  <si>
    <t xml:space="preserve">127 videos</t>
  </si>
  <si>
    <r>
      <rPr>
        <sz val="11"/>
        <rFont val="Arial"/>
        <family val="0"/>
        <charset val="1"/>
      </rPr>
      <t xml:space="preserve">Reshimu (</t>
    </r>
    <r>
      <rPr>
        <sz val="11"/>
        <rFont val="DejaVu Sans"/>
        <family val="2"/>
      </rPr>
      <t xml:space="preserve">れしむ</t>
    </r>
    <r>
      <rPr>
        <sz val="11"/>
        <rFont val="Arial"/>
        <family val="0"/>
        <charset val="1"/>
      </rPr>
      <t xml:space="preserve">)</t>
    </r>
  </si>
  <si>
    <t xml:space="preserve">https://www.youtube.com/@MegaResimu</t>
  </si>
  <si>
    <t xml:space="preserve">40.9K</t>
  </si>
  <si>
    <t xml:space="preserve">530 videos</t>
  </si>
  <si>
    <t xml:space="preserve">JoeKing</t>
  </si>
  <si>
    <t xml:space="preserve">https://www.youtube.com/@JoeKingOverwatch</t>
  </si>
  <si>
    <t xml:space="preserve">36.8K</t>
  </si>
  <si>
    <t xml:space="preserve">951 videos</t>
  </si>
  <si>
    <t xml:space="preserve">HurtboxTV</t>
  </si>
  <si>
    <t xml:space="preserve">https://www.youtube.com/@HurtboxTV</t>
  </si>
  <si>
    <t xml:space="preserve">36.4K</t>
  </si>
  <si>
    <t xml:space="preserve">1.6K videos</t>
  </si>
  <si>
    <t xml:space="preserve">2 years ago</t>
  </si>
  <si>
    <t xml:space="preserve">Colby2D</t>
  </si>
  <si>
    <t xml:space="preserve">https://www.youtube.com/@Colby2D</t>
  </si>
  <si>
    <t xml:space="preserve">34.5K</t>
  </si>
  <si>
    <t xml:space="preserve">93 videos</t>
  </si>
  <si>
    <t xml:space="preserve">search:pokken+tournament, search:pokken+dx, search:pokken+guide</t>
  </si>
  <si>
    <t xml:space="preserve">Toedslame</t>
  </si>
  <si>
    <t xml:space="preserve">https://www.youtube.com/@Toedslame</t>
  </si>
  <si>
    <t xml:space="preserve">30.5K</t>
  </si>
  <si>
    <t xml:space="preserve">18 videos</t>
  </si>
  <si>
    <t xml:space="preserve">5en</t>
  </si>
  <si>
    <t xml:space="preserve">https://www.youtube.com/@5enYT</t>
  </si>
  <si>
    <t xml:space="preserve">29.4K</t>
  </si>
  <si>
    <t xml:space="preserve">769 videos</t>
  </si>
  <si>
    <t xml:space="preserve">Swillo The PandaKing</t>
  </si>
  <si>
    <t xml:space="preserve">https://www.youtube.com/@Swillo</t>
  </si>
  <si>
    <t xml:space="preserve">28.6K</t>
  </si>
  <si>
    <t xml:space="preserve">2.1K videos</t>
  </si>
  <si>
    <t xml:space="preserve">search:pokken+tournament, search:pokken+combos</t>
  </si>
  <si>
    <t xml:space="preserve">TreeckoBro</t>
  </si>
  <si>
    <t xml:space="preserve">https://www.youtube.com/@TreeckoBro</t>
  </si>
  <si>
    <t xml:space="preserve">28.4K</t>
  </si>
  <si>
    <t xml:space="preserve">498 videos</t>
  </si>
  <si>
    <t xml:space="preserve">zDamascus</t>
  </si>
  <si>
    <t xml:space="preserve">https://www.youtube.com/@zDamascus</t>
  </si>
  <si>
    <t xml:space="preserve">21.4K</t>
  </si>
  <si>
    <t xml:space="preserve">Unrivaled Tournaments</t>
  </si>
  <si>
    <t xml:space="preserve">https://www.youtube.com/@UnrivaledTournaments</t>
  </si>
  <si>
    <t xml:space="preserve">20.4K</t>
  </si>
  <si>
    <t xml:space="preserve">12K videos</t>
  </si>
  <si>
    <t xml:space="preserve">search:pokken+tournament, search:pokken+dx, search:pokken+match, search:pokken+guide, search:top8</t>
  </si>
  <si>
    <t xml:space="preserve">HomeBrewed</t>
  </si>
  <si>
    <t xml:space="preserve">https://www.youtube.com/@Homebrewedcup</t>
  </si>
  <si>
    <t xml:space="preserve">17.2K</t>
  </si>
  <si>
    <t xml:space="preserve">178 videos</t>
  </si>
  <si>
    <t xml:space="preserve">Kurieji-Syfer</t>
  </si>
  <si>
    <t xml:space="preserve">https://www.youtube.com/@kuriejisyfer</t>
  </si>
  <si>
    <t xml:space="preserve">13.9K</t>
  </si>
  <si>
    <t xml:space="preserve">150 videos</t>
  </si>
  <si>
    <t xml:space="preserve">8 months ago</t>
  </si>
  <si>
    <t xml:space="preserve">FunkyP Presents</t>
  </si>
  <si>
    <t xml:space="preserve">https://www.youtube.com/@ATLFunkyP</t>
  </si>
  <si>
    <t xml:space="preserve">Magpie Labs</t>
  </si>
  <si>
    <t xml:space="preserve">https://www.youtube.com/@magpielabs</t>
  </si>
  <si>
    <t xml:space="preserve">13.3K</t>
  </si>
  <si>
    <t xml:space="preserve">78 videos</t>
  </si>
  <si>
    <t xml:space="preserve">search:pokken+dx, search:pokken+combos, search:pokken+match, search:pokken+guide</t>
  </si>
  <si>
    <t xml:space="preserve">nintendo games</t>
  </si>
  <si>
    <t xml:space="preserve">https://www.youtube.com/@nintendogames2589</t>
  </si>
  <si>
    <t xml:space="preserve">11.8K</t>
  </si>
  <si>
    <t xml:space="preserve">77 videos</t>
  </si>
  <si>
    <t xml:space="preserve">6 years ago</t>
  </si>
  <si>
    <t xml:space="preserve">search:JP-tournament</t>
  </si>
  <si>
    <t xml:space="preserve">Anime Mirchi: Shorts</t>
  </si>
  <si>
    <t xml:space="preserve">https://www.youtube.com/@AnimeMirchiShorts</t>
  </si>
  <si>
    <t xml:space="preserve">10.9K</t>
  </si>
  <si>
    <t xml:space="preserve">142 videos</t>
  </si>
  <si>
    <t xml:space="preserve">4mo ago</t>
  </si>
  <si>
    <r>
      <rPr>
        <sz val="11"/>
        <rFont val="Arial"/>
        <family val="0"/>
        <charset val="1"/>
      </rPr>
      <t xml:space="preserve">SOUL VIEW (</t>
    </r>
    <r>
      <rPr>
        <sz val="11"/>
        <rFont val="DejaVu Sans"/>
        <family val="2"/>
      </rPr>
      <t xml:space="preserve">大会放送</t>
    </r>
    <r>
      <rPr>
        <sz val="11"/>
        <rFont val="Arial"/>
        <family val="0"/>
        <charset val="1"/>
      </rPr>
      <t xml:space="preserve">ch.)</t>
    </r>
  </si>
  <si>
    <t xml:space="preserve">https://www.youtube.com/@SOUL_VIEW_3801</t>
  </si>
  <si>
    <t xml:space="preserve">10.0K</t>
  </si>
  <si>
    <t xml:space="preserve">1.1K videos</t>
  </si>
  <si>
    <t xml:space="preserve">13h ago</t>
  </si>
  <si>
    <t xml:space="preserve">Soniaa</t>
  </si>
  <si>
    <t xml:space="preserve">https://www.youtube.com/@Candyy248</t>
  </si>
  <si>
    <t xml:space="preserve">9.4K</t>
  </si>
  <si>
    <t xml:space="preserve">631 videos</t>
  </si>
  <si>
    <t xml:space="preserve">5d ago</t>
  </si>
  <si>
    <t xml:space="preserve">TheCiple</t>
  </si>
  <si>
    <t xml:space="preserve">https://www.youtube.com/@The_Ciple</t>
  </si>
  <si>
    <t xml:space="preserve">8.8K</t>
  </si>
  <si>
    <t xml:space="preserve">245 videos</t>
  </si>
  <si>
    <t xml:space="preserve">Rayn.K</t>
  </si>
  <si>
    <t xml:space="preserve">https://www.youtube.com/@RaynKX</t>
  </si>
  <si>
    <t xml:space="preserve">7.1K</t>
  </si>
  <si>
    <r>
      <rPr>
        <sz val="11"/>
        <rFont val="Arial"/>
        <family val="0"/>
        <charset val="1"/>
      </rPr>
      <t xml:space="preserve">Ganikosu Channel (</t>
    </r>
    <r>
      <rPr>
        <sz val="11"/>
        <rFont val="DejaVu Sans"/>
        <family val="2"/>
      </rPr>
      <t xml:space="preserve">がにこすチャンネル</t>
    </r>
    <r>
      <rPr>
        <sz val="11"/>
        <rFont val="Arial"/>
        <family val="0"/>
        <charset val="1"/>
      </rPr>
      <t xml:space="preserve">)</t>
    </r>
  </si>
  <si>
    <t xml:space="preserve">https://www.youtube.com/@%E3%81%8C%E3%81%AB%E3%81%93%E3%81%99%E3%83%81%E3%83%A3%E3%83%B3%E3%83%8D%E3%83%AB</t>
  </si>
  <si>
    <t xml:space="preserve">7.0K</t>
  </si>
  <si>
    <t xml:space="preserve">490 videos</t>
  </si>
  <si>
    <t xml:space="preserve">Muramishi</t>
  </si>
  <si>
    <t xml:space="preserve">https://www.youtube.com/@Muramishi</t>
  </si>
  <si>
    <t xml:space="preserve">6.8K</t>
  </si>
  <si>
    <t xml:space="preserve">263 videos</t>
  </si>
  <si>
    <t xml:space="preserve">MatchStick Melee</t>
  </si>
  <si>
    <t xml:space="preserve">https://www.youtube.com/@MatchStickMelee</t>
  </si>
  <si>
    <t xml:space="preserve">5.8K</t>
  </si>
  <si>
    <t xml:space="preserve">1.9K videos</t>
  </si>
  <si>
    <t xml:space="preserve">search:pokken+tournament, search:pokken+dx, search:pokken+match, search:top8</t>
  </si>
  <si>
    <t xml:space="preserve">DualDEATHLucario</t>
  </si>
  <si>
    <t xml:space="preserve">https://www.youtube.com/@dualdeathlucario4535</t>
  </si>
  <si>
    <t xml:space="preserve">5.0K</t>
  </si>
  <si>
    <t xml:space="preserve">search:pokken+tournament, search:pokken+dx, search:pokken+match, search:pokken+guide</t>
  </si>
  <si>
    <t xml:space="preserve">Auralnauts - Topic</t>
  </si>
  <si>
    <t xml:space="preserve">https://www.youtube.com/channel/UCGZEOe90REXy9I2RAngMQZw</t>
  </si>
  <si>
    <t xml:space="preserve">4.5K</t>
  </si>
  <si>
    <t xml:space="preserve">196 videos</t>
  </si>
  <si>
    <t xml:space="preserve">Jukem</t>
  </si>
  <si>
    <t xml:space="preserve">https://www.youtube.com/@Jukem</t>
  </si>
  <si>
    <t xml:space="preserve">576 videos</t>
  </si>
  <si>
    <t xml:space="preserve">1y ago</t>
  </si>
  <si>
    <t xml:space="preserve">search:pokken+combos, search:pokken+guide, search:top8</t>
  </si>
  <si>
    <t xml:space="preserve">MissingNoVGC</t>
  </si>
  <si>
    <t xml:space="preserve">https://www.youtube.com/@missingnovgc</t>
  </si>
  <si>
    <t xml:space="preserve">3.9K</t>
  </si>
  <si>
    <t xml:space="preserve">182 videos</t>
  </si>
  <si>
    <t xml:space="preserve">UGS Gaming</t>
  </si>
  <si>
    <t xml:space="preserve">https://www.youtube.com/@UGSGaming</t>
  </si>
  <si>
    <t xml:space="preserve">3.7K</t>
  </si>
  <si>
    <t xml:space="preserve">10K videos</t>
  </si>
  <si>
    <t xml:space="preserve">SonicNKnux</t>
  </si>
  <si>
    <t xml:space="preserve">https://www.youtube.com/@SonicNKnux</t>
  </si>
  <si>
    <t xml:space="preserve">3.5K</t>
  </si>
  <si>
    <t xml:space="preserve">NickIcyTails</t>
  </si>
  <si>
    <t xml:space="preserve">https://www.youtube.com/@NickIcyTails</t>
  </si>
  <si>
    <t xml:space="preserve">3.4K</t>
  </si>
  <si>
    <t xml:space="preserve">544 videos</t>
  </si>
  <si>
    <t xml:space="preserve">5 days ago</t>
  </si>
  <si>
    <t xml:space="preserve">Another Blown Cartridge</t>
  </si>
  <si>
    <t xml:space="preserve">https://www.youtube.com/@anotherblowncartridge</t>
  </si>
  <si>
    <t xml:space="preserve">3.2K</t>
  </si>
  <si>
    <t xml:space="preserve">96 videos</t>
  </si>
  <si>
    <t xml:space="preserve">BadIntent</t>
  </si>
  <si>
    <t xml:space="preserve">https://www.youtube.com/@BadIntent</t>
  </si>
  <si>
    <t xml:space="preserve">632 videos</t>
  </si>
  <si>
    <t xml:space="preserve">3 years ago</t>
  </si>
  <si>
    <t xml:space="preserve">Shadowcat</t>
  </si>
  <si>
    <t xml:space="preserve">https://www.youtube.com/@Shadowcat95</t>
  </si>
  <si>
    <t xml:space="preserve">2.8K</t>
  </si>
  <si>
    <t xml:space="preserve">426 videos</t>
  </si>
  <si>
    <t xml:space="preserve">Nathaniel Plays</t>
  </si>
  <si>
    <t xml:space="preserve">https://www.youtube.com/@Gengar.Believer</t>
  </si>
  <si>
    <t xml:space="preserve">2.7K</t>
  </si>
  <si>
    <t xml:space="preserve">80 videos</t>
  </si>
  <si>
    <t xml:space="preserve">search:pokken+tournament, search:pokken+dx, search:pokken+match</t>
  </si>
  <si>
    <t xml:space="preserve">Kazunoyo</t>
  </si>
  <si>
    <t xml:space="preserve">https://www.youtube.com/@Kazunoyo</t>
  </si>
  <si>
    <t xml:space="preserve">2.4K</t>
  </si>
  <si>
    <t xml:space="preserve">157 videos</t>
  </si>
  <si>
    <t xml:space="preserve">8 years ago</t>
  </si>
  <si>
    <t xml:space="preserve">AI with Tom Chen</t>
  </si>
  <si>
    <t xml:space="preserve">https://www.youtube.com/@AIwithTomChen</t>
  </si>
  <si>
    <t xml:space="preserve">2.0K</t>
  </si>
  <si>
    <t xml:space="preserve">16 videos</t>
  </si>
  <si>
    <t xml:space="preserve">Ring Gamingg</t>
  </si>
  <si>
    <t xml:space="preserve">https://www.youtube.com/@RingGamingg</t>
  </si>
  <si>
    <t xml:space="preserve">38 videos</t>
  </si>
  <si>
    <r>
      <rPr>
        <sz val="11"/>
        <rFont val="Arial"/>
        <family val="0"/>
        <charset val="1"/>
      </rPr>
      <t xml:space="preserve">Yakumo Takahiro GAME CHANNEL (</t>
    </r>
    <r>
      <rPr>
        <sz val="11"/>
        <rFont val="DejaVu Sans"/>
        <family val="2"/>
      </rPr>
      <t xml:space="preserve">八雲貴大</t>
    </r>
    <r>
      <rPr>
        <sz val="11"/>
        <rFont val="Arial"/>
        <family val="0"/>
        <charset val="1"/>
      </rPr>
      <t xml:space="preserve">)</t>
    </r>
  </si>
  <si>
    <t xml:space="preserve">https://www.youtube.com/@YakumoTakahiro</t>
  </si>
  <si>
    <t xml:space="preserve">1.8K</t>
  </si>
  <si>
    <t xml:space="preserve">1.8K videos</t>
  </si>
  <si>
    <t xml:space="preserve">Xyl</t>
  </si>
  <si>
    <t xml:space="preserve">https://www.youtube.com/@xyl6814</t>
  </si>
  <si>
    <t xml:space="preserve">1.5K</t>
  </si>
  <si>
    <t xml:space="preserve">98 videos</t>
  </si>
  <si>
    <t xml:space="preserve">7 years ago</t>
  </si>
  <si>
    <r>
      <rPr>
        <sz val="11"/>
        <rFont val="Arial"/>
        <family val="0"/>
        <charset val="1"/>
      </rPr>
      <t xml:space="preserve">Coro Usami Ch. (</t>
    </r>
    <r>
      <rPr>
        <sz val="11"/>
        <rFont val="DejaVu Sans"/>
        <family val="2"/>
      </rPr>
      <t xml:space="preserve">兎未 ころ</t>
    </r>
    <r>
      <rPr>
        <sz val="11"/>
        <rFont val="Arial"/>
        <family val="0"/>
        <charset val="1"/>
      </rPr>
      <t xml:space="preserve">)</t>
    </r>
  </si>
  <si>
    <t xml:space="preserve">https://www.youtube.com/@CoroUsamiCh</t>
  </si>
  <si>
    <t xml:space="preserve">130 videos</t>
  </si>
  <si>
    <t xml:space="preserve">search:pokken+dx, search:pokken+guide</t>
  </si>
  <si>
    <t xml:space="preserve">DragonBlitz_5</t>
  </si>
  <si>
    <t xml:space="preserve">https://www.youtube.com/@DragonBlitzGEAR_5</t>
  </si>
  <si>
    <t xml:space="preserve">1.4K</t>
  </si>
  <si>
    <t xml:space="preserve">156 videos</t>
  </si>
  <si>
    <t xml:space="preserve">Euclase's Pokken Archives</t>
  </si>
  <si>
    <t xml:space="preserve">https://www.youtube.com/@EuclaseArchive</t>
  </si>
  <si>
    <t xml:space="preserve">1.3K</t>
  </si>
  <si>
    <t xml:space="preserve">241 videos</t>
  </si>
  <si>
    <t xml:space="preserve">search:pokken+tournament, search:pokken+dx, search:pokken+combos, search:pokken+match, search:pokken+guide, search:top8</t>
  </si>
  <si>
    <r>
      <rPr>
        <sz val="11"/>
        <rFont val="Arial"/>
        <family val="0"/>
        <charset val="1"/>
      </rPr>
      <t xml:space="preserve">Elm (</t>
    </r>
    <r>
      <rPr>
        <sz val="11"/>
        <rFont val="DejaVu Sans"/>
        <family val="2"/>
      </rPr>
      <t xml:space="preserve">エルム</t>
    </r>
    <r>
      <rPr>
        <sz val="11"/>
        <rFont val="Arial"/>
        <family val="0"/>
        <charset val="1"/>
      </rPr>
      <t xml:space="preserve">)</t>
    </r>
  </si>
  <si>
    <t xml:space="preserve">https://www.youtube.com/@elm_motochika</t>
  </si>
  <si>
    <t xml:space="preserve">1.1K</t>
  </si>
  <si>
    <t xml:space="preserve">405 videos</t>
  </si>
  <si>
    <t xml:space="preserve">10 days ago</t>
  </si>
  <si>
    <t xml:space="preserve">21 Hits</t>
  </si>
  <si>
    <t xml:space="preserve">https://www.youtube.com/@21Hits</t>
  </si>
  <si>
    <t xml:space="preserve">968</t>
  </si>
  <si>
    <t xml:space="preserve">33 videos</t>
  </si>
  <si>
    <r>
      <rPr>
        <sz val="11"/>
        <rFont val="Arial"/>
        <family val="0"/>
        <charset val="1"/>
      </rPr>
      <t xml:space="preserve">Pokken Kanto Tournament (</t>
    </r>
    <r>
      <rPr>
        <sz val="11"/>
        <rFont val="DejaVu Sans"/>
        <family val="2"/>
      </rPr>
      <t xml:space="preserve">ポッ拳カントートーナメント</t>
    </r>
    <r>
      <rPr>
        <sz val="11"/>
        <rFont val="Arial"/>
        <family val="0"/>
        <charset val="1"/>
      </rPr>
      <t xml:space="preserve">)</t>
    </r>
  </si>
  <si>
    <t xml:space="preserve">https://www.youtube.com/@%E3%83%9D%E3%83%83%E6%8B%B3%E3%82%AB%E3%83%B3%E3%83%88%E3%83%BC%E3%83%88%E3%83%BC%E3%83%8A%E3%83%A1%E3%83%B3%E3%83%88</t>
  </si>
  <si>
    <t xml:space="preserve">940</t>
  </si>
  <si>
    <t xml:space="preserve">283 videos</t>
  </si>
  <si>
    <t xml:space="preserve">Super Salt Shakers</t>
  </si>
  <si>
    <t xml:space="preserve">https://www.youtube.com/@supersaltshakers2140</t>
  </si>
  <si>
    <t xml:space="preserve">882</t>
  </si>
  <si>
    <t xml:space="preserve">ClouDNova Lab</t>
  </si>
  <si>
    <t xml:space="preserve">https://www.youtube.com/@cloudnovalab</t>
  </si>
  <si>
    <t xml:space="preserve">630</t>
  </si>
  <si>
    <t xml:space="preserve">307 videos</t>
  </si>
  <si>
    <t xml:space="preserve">LittleHomieJuan</t>
  </si>
  <si>
    <t xml:space="preserve">https://www.youtube.com/@LilhomieJuan</t>
  </si>
  <si>
    <t xml:space="preserve">618</t>
  </si>
  <si>
    <t xml:space="preserve">126 videos</t>
  </si>
  <si>
    <t xml:space="preserve">Mewtater</t>
  </si>
  <si>
    <t xml:space="preserve">https://www.youtube.com/@Mewtater</t>
  </si>
  <si>
    <t xml:space="preserve">587</t>
  </si>
  <si>
    <t xml:space="preserve">320 videos</t>
  </si>
  <si>
    <t xml:space="preserve">Pokken SG</t>
  </si>
  <si>
    <t xml:space="preserve">https://www.youtube.com/@pokkensg9658</t>
  </si>
  <si>
    <t xml:space="preserve">489</t>
  </si>
  <si>
    <t xml:space="preserve">FaOp Eruption</t>
  </si>
  <si>
    <t xml:space="preserve">https://www.youtube.com/@faoperuption4832</t>
  </si>
  <si>
    <t xml:space="preserve">436</t>
  </si>
  <si>
    <t xml:space="preserve">79 videos</t>
  </si>
  <si>
    <t xml:space="preserve">9 years ago</t>
  </si>
  <si>
    <t xml:space="preserve">Jamy</t>
  </si>
  <si>
    <t xml:space="preserve">https://www.youtube.com/@JamyAnimates</t>
  </si>
  <si>
    <t xml:space="preserve">378</t>
  </si>
  <si>
    <t xml:space="preserve">10 videos</t>
  </si>
  <si>
    <t xml:space="preserve">Allister Singh</t>
  </si>
  <si>
    <t xml:space="preserve">https://www.youtube.com/@AllisterSingh</t>
  </si>
  <si>
    <t xml:space="preserve">364</t>
  </si>
  <si>
    <t xml:space="preserve">5 years ago</t>
  </si>
  <si>
    <t xml:space="preserve">Pokken Tournament Oceania</t>
  </si>
  <si>
    <t xml:space="preserve">https://www.youtube.com/@PokkenOCE</t>
  </si>
  <si>
    <t xml:space="preserve">345</t>
  </si>
  <si>
    <t xml:space="preserve">416 videos</t>
  </si>
  <si>
    <t xml:space="preserve">5mo ago</t>
  </si>
  <si>
    <t xml:space="preserve">JinByaShaRinSAGE</t>
  </si>
  <si>
    <t xml:space="preserve">https://www.youtube.com/@RaitsukSage0NARUTO</t>
  </si>
  <si>
    <t xml:space="preserve">322</t>
  </si>
  <si>
    <t xml:space="preserve">Poooll</t>
  </si>
  <si>
    <t xml:space="preserve">https://www.youtube.com/@Poooll</t>
  </si>
  <si>
    <t xml:space="preserve">275</t>
  </si>
  <si>
    <t xml:space="preserve">186 videos</t>
  </si>
  <si>
    <t xml:space="preserve">Stein's Domain</t>
  </si>
  <si>
    <t xml:space="preserve">https://www.youtube.com/@Steinsdomain</t>
  </si>
  <si>
    <t xml:space="preserve">265</t>
  </si>
  <si>
    <t xml:space="preserve">438 videos</t>
  </si>
  <si>
    <t xml:space="preserve">4 years ago</t>
  </si>
  <si>
    <t xml:space="preserve">Blame the Lag</t>
  </si>
  <si>
    <t xml:space="preserve">https://www.youtube.com/@BlameTheLagFGC</t>
  </si>
  <si>
    <t xml:space="preserve">233</t>
  </si>
  <si>
    <t xml:space="preserve">5 videos</t>
  </si>
  <si>
    <r>
      <rPr>
        <sz val="11"/>
        <rFont val="Arial"/>
        <family val="0"/>
        <charset val="1"/>
      </rPr>
      <t xml:space="preserve">Nezumi (</t>
    </r>
    <r>
      <rPr>
        <sz val="11"/>
        <rFont val="DejaVu Sans"/>
        <family val="2"/>
      </rPr>
      <t xml:space="preserve">ねずみ</t>
    </r>
    <r>
      <rPr>
        <sz val="11"/>
        <rFont val="Arial"/>
        <family val="0"/>
        <charset val="1"/>
      </rPr>
      <t xml:space="preserve">)</t>
    </r>
  </si>
  <si>
    <t xml:space="preserve">https://www.youtube.com/@%E3%81%AD%E3%81%9A%E3%81%BF_nezumi</t>
  </si>
  <si>
    <t xml:space="preserve">197</t>
  </si>
  <si>
    <t xml:space="preserve">31 videos</t>
  </si>
  <si>
    <t xml:space="preserve">Jin Journeys</t>
  </si>
  <si>
    <t xml:space="preserve">https://www.youtube.com/@TheJinJourneys</t>
  </si>
  <si>
    <t xml:space="preserve">133</t>
  </si>
  <si>
    <t xml:space="preserve">101 videos</t>
  </si>
  <si>
    <t xml:space="preserve">2w ago</t>
  </si>
  <si>
    <t xml:space="preserve">search:pokken+tournament, search:top8</t>
  </si>
  <si>
    <t xml:space="preserve">FangShaymin Archive</t>
  </si>
  <si>
    <t xml:space="preserve">https://www.youtube.com/@BronyFang</t>
  </si>
  <si>
    <t xml:space="preserve">104</t>
  </si>
  <si>
    <t xml:space="preserve">155 videos</t>
  </si>
  <si>
    <t xml:space="preserve">Pokken Net</t>
  </si>
  <si>
    <t xml:space="preserve">https://www.youtube.com/@pokkennet8277</t>
  </si>
  <si>
    <t xml:space="preserve">101</t>
  </si>
  <si>
    <t xml:space="preserve">27 videos</t>
  </si>
  <si>
    <t xml:space="preserve">PuppyHavoc</t>
  </si>
  <si>
    <t xml:space="preserve">https://www.youtube.com/@PuppyHavoc</t>
  </si>
  <si>
    <t xml:space="preserve">95</t>
  </si>
  <si>
    <t xml:space="preserve">14 videos</t>
  </si>
  <si>
    <t xml:space="preserve">Meowingtons88</t>
  </si>
  <si>
    <t xml:space="preserve">https://www.youtube.com/@meowingtons8816</t>
  </si>
  <si>
    <t xml:space="preserve">92</t>
  </si>
  <si>
    <t xml:space="preserve">343 videos</t>
  </si>
  <si>
    <t xml:space="preserve">Plume</t>
  </si>
  <si>
    <t xml:space="preserve">https://www.youtube.com/@Plume-i</t>
  </si>
  <si>
    <t xml:space="preserve">52</t>
  </si>
  <si>
    <t xml:space="preserve">7 videos</t>
  </si>
  <si>
    <r>
      <rPr>
        <sz val="11"/>
        <rFont val="Arial"/>
        <family val="0"/>
        <charset val="1"/>
      </rPr>
      <t xml:space="preserve">Pokken Net JP (</t>
    </r>
    <r>
      <rPr>
        <sz val="11"/>
        <rFont val="DejaVu Sans"/>
        <family val="2"/>
      </rPr>
      <t xml:space="preserve">ポッ拳ネット</t>
    </r>
    <r>
      <rPr>
        <sz val="11"/>
        <rFont val="Arial"/>
        <family val="0"/>
        <charset val="1"/>
      </rPr>
      <t xml:space="preserve">)</t>
    </r>
  </si>
  <si>
    <t xml:space="preserve">https://www.youtube.com/@pokkennet8585</t>
  </si>
  <si>
    <t xml:space="preserve">13</t>
  </si>
  <si>
    <t xml:space="preserve">6 videos</t>
  </si>
  <si>
    <t xml:space="preserve">PizzamonkeyFGC</t>
  </si>
  <si>
    <t xml:space="preserve">https://www.youtube.com/@PizzamonkeyFGC</t>
  </si>
  <si>
    <t xml:space="preserve">WolfeyVGC and Jacob Alpharad</t>
  </si>
  <si>
    <t xml:space="preserve">https://www.youtube.com</t>
  </si>
  <si>
    <t xml:space="preserve">Pokkén YouTube Channel Research — Summary</t>
  </si>
  <si>
    <t xml:space="preserve">Total channels surfaced</t>
  </si>
  <si>
    <t xml:space="preserve">Channels in JP language</t>
  </si>
  <si>
    <t xml:space="preserve">Channels in EN language</t>
  </si>
  <si>
    <t xml:space="preserve">Pokkén-focused (Yes)</t>
  </si>
  <si>
    <t xml:space="preserve">Pokkén-focused (Likely)</t>
  </si>
  <si>
    <t xml:space="preserve">Algorithm-suggested (in-video panel)</t>
  </si>
  <si>
    <t xml:space="preserve">Median subscribers (numeric)</t>
  </si>
  <si>
    <t xml:space="preserve">Total subscribers (sum, all)</t>
  </si>
  <si>
    <t xml:space="preserve">Notes / Methodology</t>
  </si>
  <si>
    <t xml:space="preserve">Sources: YouTube web search for queries 'pokken tournament', 'pokken dx', 'pokken combos',</t>
  </si>
  <si>
    <r>
      <rPr>
        <i val="true"/>
        <sz val="10"/>
        <rFont val="Arial"/>
        <family val="0"/>
        <charset val="1"/>
      </rPr>
      <t xml:space="preserve">  'pokken match', 'pokken guide', 'top 8 pokken', '</t>
    </r>
    <r>
      <rPr>
        <i val="true"/>
        <sz val="10"/>
        <rFont val="DejaVu Sans"/>
        <family val="2"/>
      </rPr>
      <t xml:space="preserve">ポッ拳</t>
    </r>
    <r>
      <rPr>
        <i val="true"/>
        <sz val="10"/>
        <rFont val="Arial"/>
        <family val="0"/>
        <charset val="1"/>
      </rPr>
      <t xml:space="preserve">', '</t>
    </r>
    <r>
      <rPr>
        <i val="true"/>
        <sz val="10"/>
        <rFont val="DejaVu Sans"/>
        <family val="2"/>
      </rPr>
      <t xml:space="preserve">ポッ拳 大会</t>
    </r>
    <r>
      <rPr>
        <i val="true"/>
        <sz val="10"/>
        <rFont val="Arial"/>
        <family val="0"/>
        <charset val="1"/>
      </rPr>
      <t xml:space="preserve">' — collected via Chrome</t>
    </r>
  </si>
  <si>
    <t xml:space="preserve">  on 2026-04-24. Channel sub counts pulled by same-origin fetch of each channel's home page</t>
  </si>
  <si>
    <t xml:space="preserve">  parsing window.ytInitialData.</t>
  </si>
  <si>
    <t xml:space="preserve">Search Appearances = how many distinct queries surfaced this channel (max 8 + suggestion panels).</t>
  </si>
  <si>
    <t xml:space="preserve">Algorithm-Suggested = appeared in YouTube's in-video 'suggested' panel while watching a popular</t>
  </si>
  <si>
    <t xml:space="preserve">  Pokkén video (signal of active algorithmic push, not just keyword match).</t>
  </si>
  <si>
    <t xml:space="preserve">Pokken-Focused heuristic:</t>
  </si>
  <si>
    <r>
      <rPr>
        <i val="true"/>
        <sz val="10"/>
        <rFont val="Arial"/>
        <family val="0"/>
        <charset val="1"/>
      </rPr>
      <t xml:space="preserve">  Yes  = channel name explicitly references Pokkén / </t>
    </r>
    <r>
      <rPr>
        <i val="true"/>
        <sz val="10"/>
        <rFont val="DejaVu Sans"/>
        <family val="2"/>
      </rPr>
      <t xml:space="preserve">ポッ拳 </t>
    </r>
    <r>
      <rPr>
        <i val="true"/>
        <sz val="10"/>
        <rFont val="Arial"/>
        <family val="0"/>
        <charset val="1"/>
      </rPr>
      <t xml:space="preserve">/ Mouse Cup</t>
    </r>
  </si>
  <si>
    <t xml:space="preserve">  Likely = surfaced in 4+ distinct pokken queries</t>
  </si>
  <si>
    <t xml:space="preserve">  Maybe = 2-3 queries (could be incidental)</t>
  </si>
  <si>
    <t xml:space="preserve">  No   = single search appearance (very likely incidental)</t>
  </si>
  <si>
    <t xml:space="preserve">Channels with 0 subscribers shown = data fetch failed (channel may be terminated, private, or</t>
  </si>
  <si>
    <t xml:space="preserve">  restricted in this region — listed for completeness).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</si>
</sst>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\-#,##0;\—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u val="single"/>
      <sz val="11"/>
      <color rgb="FF0563C1"/>
      <name val="Arial"/>
      <family val="0"/>
      <charset val="1"/>
    </font>
    <font>
      <sz val="11"/>
      <name val="DejaVu Sans"/>
      <family val="2"/>
    </font>
    <font>
      <b val="true"/>
      <sz val="11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10"/>
      <name val="Arial"/>
      <family val="0"/>
      <charset val="1"/>
    </font>
    <font>
      <i val="true"/>
      <sz val="10"/>
      <name val="DejaVu Sans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EB9C"/>
        <bgColor rgb="FFFFFFCC"/>
      </patternFill>
    </fill>
    <fill>
      <patternFill patternType="solid">
        <fgColor rgb="FF9BC2E6"/>
        <bgColor rgb="FFC0C0C0"/>
      </patternFill>
    </fill>
    <fill>
      <patternFill patternType="solid">
        <fgColor rgb="FFC6EFCE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78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9BC2E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BC2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youtube.com/@IGN" TargetMode="External"/><Relationship Id="rId2" Type="http://schemas.openxmlformats.org/officeDocument/2006/relationships/hyperlink" Target="https://www.youtube.com/@adultswim" TargetMode="External"/><Relationship Id="rId3" Type="http://schemas.openxmlformats.org/officeDocument/2006/relationships/hyperlink" Target="https://www.youtube.com/@pokemon" TargetMode="External"/><Relationship Id="rId4" Type="http://schemas.openxmlformats.org/officeDocument/2006/relationships/hyperlink" Target="https://www.youtube.com/@gamespot" TargetMode="External"/><Relationship Id="rId5" Type="http://schemas.openxmlformats.org/officeDocument/2006/relationships/hyperlink" Target="https://www.youtube.com/@ProsafiaGaming" TargetMode="External"/><Relationship Id="rId6" Type="http://schemas.openxmlformats.org/officeDocument/2006/relationships/hyperlink" Target="https://www.youtube.com/@PokemonCoJp" TargetMode="External"/><Relationship Id="rId7" Type="http://schemas.openxmlformats.org/officeDocument/2006/relationships/hyperlink" Target="https://www.youtube.com/@NintendoJP" TargetMode="External"/><Relationship Id="rId8" Type="http://schemas.openxmlformats.org/officeDocument/2006/relationships/hyperlink" Target="https://www.youtube.com/@MandJTV" TargetMode="External"/><Relationship Id="rId9" Type="http://schemas.openxmlformats.org/officeDocument/2006/relationships/hyperlink" Target="https://www.youtube.com/@TitansVolleyball" TargetMode="External"/><Relationship Id="rId10" Type="http://schemas.openxmlformats.org/officeDocument/2006/relationships/hyperlink" Target="https://www.youtube.com/@bandainamcoentertainment" TargetMode="External"/><Relationship Id="rId11" Type="http://schemas.openxmlformats.org/officeDocument/2006/relationships/hyperlink" Target="https://www.youtube.com/@AsmongoldClips" TargetMode="External"/><Relationship Id="rId12" Type="http://schemas.openxmlformats.org/officeDocument/2006/relationships/hyperlink" Target="https://www.youtube.com/@GamingBolt" TargetMode="External"/><Relationship Id="rId13" Type="http://schemas.openxmlformats.org/officeDocument/2006/relationships/hyperlink" Target="https://www.youtube.com/@LeftBurst" TargetMode="External"/><Relationship Id="rId14" Type="http://schemas.openxmlformats.org/officeDocument/2006/relationships/hyperlink" Target="https://www.youtube.com/@Ndy" TargetMode="External"/><Relationship Id="rId15" Type="http://schemas.openxmlformats.org/officeDocument/2006/relationships/hyperlink" Target="https://www.youtube.com/@nintendolife" TargetMode="External"/><Relationship Id="rId16" Type="http://schemas.openxmlformats.org/officeDocument/2006/relationships/hyperlink" Target="https://www.youtube.com/@PedroAraujoStudio" TargetMode="External"/><Relationship Id="rId17" Type="http://schemas.openxmlformats.org/officeDocument/2006/relationships/hyperlink" Target="https://www.youtube.com/@Cwitchy" TargetMode="External"/><Relationship Id="rId18" Type="http://schemas.openxmlformats.org/officeDocument/2006/relationships/hyperlink" Target="https://www.youtube.com/@shofu" TargetMode="External"/><Relationship Id="rId19" Type="http://schemas.openxmlformats.org/officeDocument/2006/relationships/hyperlink" Target="https://www.youtube.com/@Zwigg0" TargetMode="External"/><Relationship Id="rId20" Type="http://schemas.openxmlformats.org/officeDocument/2006/relationships/hyperlink" Target="https://www.youtube.com/@KYOUPOKE" TargetMode="External"/><Relationship Id="rId21" Type="http://schemas.openxmlformats.org/officeDocument/2006/relationships/hyperlink" Target="https://www.youtube.com/@NintendoUK" TargetMode="External"/><Relationship Id="rId22" Type="http://schemas.openxmlformats.org/officeDocument/2006/relationships/hyperlink" Target="https://www.youtube.com/@hidden_machine" TargetMode="External"/><Relationship Id="rId23" Type="http://schemas.openxmlformats.org/officeDocument/2006/relationships/hyperlink" Target="https://www.youtube.com/@FalseSwipeGaming" TargetMode="External"/><Relationship Id="rId24" Type="http://schemas.openxmlformats.org/officeDocument/2006/relationships/hyperlink" Target="https://www.youtube.com/@funnyhoohooman" TargetMode="External"/><Relationship Id="rId25" Type="http://schemas.openxmlformats.org/officeDocument/2006/relationships/hyperlink" Target="https://www.youtube.com/@MrBrauza" TargetMode="External"/><Relationship Id="rId26" Type="http://schemas.openxmlformats.org/officeDocument/2006/relationships/hyperlink" Target="https://www.youtube.com/@Akshonmedia" TargetMode="External"/><Relationship Id="rId27" Type="http://schemas.openxmlformats.org/officeDocument/2006/relationships/hyperlink" Target="https://www.youtube.com/@GreyFang" TargetMode="External"/><Relationship Id="rId28" Type="http://schemas.openxmlformats.org/officeDocument/2006/relationships/hyperlink" Target="https://www.youtube.com/@viz" TargetMode="External"/><Relationship Id="rId29" Type="http://schemas.openxmlformats.org/officeDocument/2006/relationships/hyperlink" Target="https://www.youtube.com/channel/UCyDQKOgEjuIiuPXctcuQKlg" TargetMode="External"/><Relationship Id="rId30" Type="http://schemas.openxmlformats.org/officeDocument/2006/relationships/hyperlink" Target="https://www.youtube.com/@OlexaYT" TargetMode="External"/><Relationship Id="rId31" Type="http://schemas.openxmlformats.org/officeDocument/2006/relationships/hyperlink" Target="https://www.youtube.com/@AldiMods" TargetMode="External"/><Relationship Id="rId32" Type="http://schemas.openxmlformats.org/officeDocument/2006/relationships/hyperlink" Target="https://www.youtube.com/@Mash9000" TargetMode="External"/><Relationship Id="rId33" Type="http://schemas.openxmlformats.org/officeDocument/2006/relationships/hyperlink" Target="https://www.youtube.com/@frapollo94" TargetMode="External"/><Relationship Id="rId34" Type="http://schemas.openxmlformats.org/officeDocument/2006/relationships/hyperlink" Target="https://www.youtube.com/channel/UCTK4l10G77oDhOjIaxS3vcQ" TargetMode="External"/><Relationship Id="rId35" Type="http://schemas.openxmlformats.org/officeDocument/2006/relationships/hyperlink" Target="https://www.youtube.com/@UnderdogsGaming" TargetMode="External"/><Relationship Id="rId36" Type="http://schemas.openxmlformats.org/officeDocument/2006/relationships/hyperlink" Target="https://www.youtube.com/@&#12511;&#12479;" TargetMode="External"/><Relationship Id="rId37" Type="http://schemas.openxmlformats.org/officeDocument/2006/relationships/hyperlink" Target="https://www.youtube.com/@NSSweat" TargetMode="External"/><Relationship Id="rId38" Type="http://schemas.openxmlformats.org/officeDocument/2006/relationships/hyperlink" Target="https://www.youtube.com/@PandaGlobal" TargetMode="External"/><Relationship Id="rId39" Type="http://schemas.openxmlformats.org/officeDocument/2006/relationships/hyperlink" Target="https://www.youtube.com/@jimothycool" TargetMode="External"/><Relationship Id="rId40" Type="http://schemas.openxmlformats.org/officeDocument/2006/relationships/hyperlink" Target="https://www.youtube.com/@GameBurst" TargetMode="External"/><Relationship Id="rId41" Type="http://schemas.openxmlformats.org/officeDocument/2006/relationships/hyperlink" Target="https://www.youtube.com/@FinnTran" TargetMode="External"/><Relationship Id="rId42" Type="http://schemas.openxmlformats.org/officeDocument/2006/relationships/hyperlink" Target="https://www.youtube.com/@StrawHatMidas" TargetMode="External"/><Relationship Id="rId43" Type="http://schemas.openxmlformats.org/officeDocument/2006/relationships/hyperlink" Target="https://www.youtube.com/@KRGaming123" TargetMode="External"/><Relationship Id="rId44" Type="http://schemas.openxmlformats.org/officeDocument/2006/relationships/hyperlink" Target="https://www.youtube.com/@Joereo" TargetMode="External"/><Relationship Id="rId45" Type="http://schemas.openxmlformats.org/officeDocument/2006/relationships/hyperlink" Target="https://www.youtube.com/@buffgigas" TargetMode="External"/><Relationship Id="rId46" Type="http://schemas.openxmlformats.org/officeDocument/2006/relationships/hyperlink" Target="https://www.youtube.com/channel/UCdOEmZem1Bn_V84wBiFWN6g" TargetMode="External"/><Relationship Id="rId47" Type="http://schemas.openxmlformats.org/officeDocument/2006/relationships/hyperlink" Target="https://www.youtube.com/@BeakBrush" TargetMode="External"/><Relationship Id="rId48" Type="http://schemas.openxmlformats.org/officeDocument/2006/relationships/hyperlink" Target="https://www.youtube.com/@PapaLobster" TargetMode="External"/><Relationship Id="rId49" Type="http://schemas.openxmlformats.org/officeDocument/2006/relationships/hyperlink" Target="https://www.youtube.com/@DeWarioFreak" TargetMode="External"/><Relationship Id="rId50" Type="http://schemas.openxmlformats.org/officeDocument/2006/relationships/hyperlink" Target="https://www.youtube.com/@Rukariia" TargetMode="External"/><Relationship Id="rId51" Type="http://schemas.openxmlformats.org/officeDocument/2006/relationships/hyperlink" Target="https://www.youtube.com/@level-up" TargetMode="External"/><Relationship Id="rId52" Type="http://schemas.openxmlformats.org/officeDocument/2006/relationships/hyperlink" Target="https://www.youtube.com/@ProfessorRex" TargetMode="External"/><Relationship Id="rId53" Type="http://schemas.openxmlformats.org/officeDocument/2006/relationships/hyperlink" Target="https://www.youtube.com/@MegaResimu" TargetMode="External"/><Relationship Id="rId54" Type="http://schemas.openxmlformats.org/officeDocument/2006/relationships/hyperlink" Target="https://www.youtube.com/@JoeKingOverwatch" TargetMode="External"/><Relationship Id="rId55" Type="http://schemas.openxmlformats.org/officeDocument/2006/relationships/hyperlink" Target="https://www.youtube.com/@HurtboxTV" TargetMode="External"/><Relationship Id="rId56" Type="http://schemas.openxmlformats.org/officeDocument/2006/relationships/hyperlink" Target="https://www.youtube.com/@Colby2D" TargetMode="External"/><Relationship Id="rId57" Type="http://schemas.openxmlformats.org/officeDocument/2006/relationships/hyperlink" Target="https://www.youtube.com/@Toedslame" TargetMode="External"/><Relationship Id="rId58" Type="http://schemas.openxmlformats.org/officeDocument/2006/relationships/hyperlink" Target="https://www.youtube.com/@5enYT" TargetMode="External"/><Relationship Id="rId59" Type="http://schemas.openxmlformats.org/officeDocument/2006/relationships/hyperlink" Target="https://www.youtube.com/@Swillo" TargetMode="External"/><Relationship Id="rId60" Type="http://schemas.openxmlformats.org/officeDocument/2006/relationships/hyperlink" Target="https://www.youtube.com/@TreeckoBro" TargetMode="External"/><Relationship Id="rId61" Type="http://schemas.openxmlformats.org/officeDocument/2006/relationships/hyperlink" Target="https://www.youtube.com/@zDamascus" TargetMode="External"/><Relationship Id="rId62" Type="http://schemas.openxmlformats.org/officeDocument/2006/relationships/hyperlink" Target="https://www.youtube.com/@UnrivaledTournaments" TargetMode="External"/><Relationship Id="rId63" Type="http://schemas.openxmlformats.org/officeDocument/2006/relationships/hyperlink" Target="https://www.youtube.com/@Homebrewedcup" TargetMode="External"/><Relationship Id="rId64" Type="http://schemas.openxmlformats.org/officeDocument/2006/relationships/hyperlink" Target="https://www.youtube.com/@kuriejisyfer" TargetMode="External"/><Relationship Id="rId65" Type="http://schemas.openxmlformats.org/officeDocument/2006/relationships/hyperlink" Target="https://www.youtube.com/@ATLFunkyP" TargetMode="External"/><Relationship Id="rId66" Type="http://schemas.openxmlformats.org/officeDocument/2006/relationships/hyperlink" Target="https://www.youtube.com/@magpielabs" TargetMode="External"/><Relationship Id="rId67" Type="http://schemas.openxmlformats.org/officeDocument/2006/relationships/hyperlink" Target="https://www.youtube.com/@nintendogames2589" TargetMode="External"/><Relationship Id="rId68" Type="http://schemas.openxmlformats.org/officeDocument/2006/relationships/hyperlink" Target="https://www.youtube.com/@AnimeMirchiShorts" TargetMode="External"/><Relationship Id="rId69" Type="http://schemas.openxmlformats.org/officeDocument/2006/relationships/hyperlink" Target="https://www.youtube.com/@SOUL_VIEW_3801" TargetMode="External"/><Relationship Id="rId70" Type="http://schemas.openxmlformats.org/officeDocument/2006/relationships/hyperlink" Target="https://www.youtube.com/@Candyy248" TargetMode="External"/><Relationship Id="rId71" Type="http://schemas.openxmlformats.org/officeDocument/2006/relationships/hyperlink" Target="https://www.youtube.com/@The_Ciple" TargetMode="External"/><Relationship Id="rId72" Type="http://schemas.openxmlformats.org/officeDocument/2006/relationships/hyperlink" Target="https://www.youtube.com/@RaynKX" TargetMode="External"/><Relationship Id="rId73" Type="http://schemas.openxmlformats.org/officeDocument/2006/relationships/hyperlink" Target="https://www.youtube.com/@&#12364;&#12395;&#12371;&#12377;&#12481;&#12515;&#12531;&#12493;&#12523;" TargetMode="External"/><Relationship Id="rId74" Type="http://schemas.openxmlformats.org/officeDocument/2006/relationships/hyperlink" Target="https://www.youtube.com/@Muramishi" TargetMode="External"/><Relationship Id="rId75" Type="http://schemas.openxmlformats.org/officeDocument/2006/relationships/hyperlink" Target="https://www.youtube.com/@MatchStickMelee" TargetMode="External"/><Relationship Id="rId76" Type="http://schemas.openxmlformats.org/officeDocument/2006/relationships/hyperlink" Target="https://www.youtube.com/@dualdeathlucario4535" TargetMode="External"/><Relationship Id="rId77" Type="http://schemas.openxmlformats.org/officeDocument/2006/relationships/hyperlink" Target="https://www.youtube.com/channel/UCGZEOe90REXy9I2RAngMQZw" TargetMode="External"/><Relationship Id="rId78" Type="http://schemas.openxmlformats.org/officeDocument/2006/relationships/hyperlink" Target="https://www.youtube.com/@Jukem" TargetMode="External"/><Relationship Id="rId79" Type="http://schemas.openxmlformats.org/officeDocument/2006/relationships/hyperlink" Target="https://www.youtube.com/@missingnovgc" TargetMode="External"/><Relationship Id="rId80" Type="http://schemas.openxmlformats.org/officeDocument/2006/relationships/hyperlink" Target="https://www.youtube.com/@UGSGaming" TargetMode="External"/><Relationship Id="rId81" Type="http://schemas.openxmlformats.org/officeDocument/2006/relationships/hyperlink" Target="https://www.youtube.com/@SonicNKnux" TargetMode="External"/><Relationship Id="rId82" Type="http://schemas.openxmlformats.org/officeDocument/2006/relationships/hyperlink" Target="https://www.youtube.com/@NickIcyTails" TargetMode="External"/><Relationship Id="rId83" Type="http://schemas.openxmlformats.org/officeDocument/2006/relationships/hyperlink" Target="https://www.youtube.com/@anotherblowncartridge" TargetMode="External"/><Relationship Id="rId84" Type="http://schemas.openxmlformats.org/officeDocument/2006/relationships/hyperlink" Target="https://www.youtube.com/@BadIntent" TargetMode="External"/><Relationship Id="rId85" Type="http://schemas.openxmlformats.org/officeDocument/2006/relationships/hyperlink" Target="https://www.youtube.com/@Shadowcat95" TargetMode="External"/><Relationship Id="rId86" Type="http://schemas.openxmlformats.org/officeDocument/2006/relationships/hyperlink" Target="https://www.youtube.com/@Gengar.Believer" TargetMode="External"/><Relationship Id="rId87" Type="http://schemas.openxmlformats.org/officeDocument/2006/relationships/hyperlink" Target="https://www.youtube.com/@Kazunoyo" TargetMode="External"/><Relationship Id="rId88" Type="http://schemas.openxmlformats.org/officeDocument/2006/relationships/hyperlink" Target="https://www.youtube.com/@AIwithTomChen" TargetMode="External"/><Relationship Id="rId89" Type="http://schemas.openxmlformats.org/officeDocument/2006/relationships/hyperlink" Target="https://www.youtube.com/@RingGamingg" TargetMode="External"/><Relationship Id="rId90" Type="http://schemas.openxmlformats.org/officeDocument/2006/relationships/hyperlink" Target="https://www.youtube.com/@YakumoTakahiro" TargetMode="External"/><Relationship Id="rId91" Type="http://schemas.openxmlformats.org/officeDocument/2006/relationships/hyperlink" Target="https://www.youtube.com/@xyl6814" TargetMode="External"/><Relationship Id="rId92" Type="http://schemas.openxmlformats.org/officeDocument/2006/relationships/hyperlink" Target="https://www.youtube.com/@CoroUsamiCh" TargetMode="External"/><Relationship Id="rId93" Type="http://schemas.openxmlformats.org/officeDocument/2006/relationships/hyperlink" Target="https://www.youtube.com/@DragonBlitzGEAR_5" TargetMode="External"/><Relationship Id="rId94" Type="http://schemas.openxmlformats.org/officeDocument/2006/relationships/hyperlink" Target="https://www.youtube.com/@EuclaseArchive" TargetMode="External"/><Relationship Id="rId95" Type="http://schemas.openxmlformats.org/officeDocument/2006/relationships/hyperlink" Target="https://www.youtube.com/@elm_motochika" TargetMode="External"/><Relationship Id="rId96" Type="http://schemas.openxmlformats.org/officeDocument/2006/relationships/hyperlink" Target="https://www.youtube.com/@21Hits" TargetMode="External"/><Relationship Id="rId97" Type="http://schemas.openxmlformats.org/officeDocument/2006/relationships/hyperlink" Target="https://www.youtube.com/@&#12509;&#12483;&#25331;&#12459;&#12531;&#12488;&#12540;&#12488;&#12540;&#12490;&#12513;&#12531;&#12488;" TargetMode="External"/><Relationship Id="rId98" Type="http://schemas.openxmlformats.org/officeDocument/2006/relationships/hyperlink" Target="https://www.youtube.com/@supersaltshakers2140" TargetMode="External"/><Relationship Id="rId99" Type="http://schemas.openxmlformats.org/officeDocument/2006/relationships/hyperlink" Target="https://www.youtube.com/@cloudnovalab" TargetMode="External"/><Relationship Id="rId100" Type="http://schemas.openxmlformats.org/officeDocument/2006/relationships/hyperlink" Target="https://www.youtube.com/@LilhomieJuan" TargetMode="External"/><Relationship Id="rId101" Type="http://schemas.openxmlformats.org/officeDocument/2006/relationships/hyperlink" Target="https://www.youtube.com/@Mewtater" TargetMode="External"/><Relationship Id="rId102" Type="http://schemas.openxmlformats.org/officeDocument/2006/relationships/hyperlink" Target="https://www.youtube.com/@pokkensg9658" TargetMode="External"/><Relationship Id="rId103" Type="http://schemas.openxmlformats.org/officeDocument/2006/relationships/hyperlink" Target="https://www.youtube.com/@faoperuption4832" TargetMode="External"/><Relationship Id="rId104" Type="http://schemas.openxmlformats.org/officeDocument/2006/relationships/hyperlink" Target="https://www.youtube.com/@JamyAnimates" TargetMode="External"/><Relationship Id="rId105" Type="http://schemas.openxmlformats.org/officeDocument/2006/relationships/hyperlink" Target="https://www.youtube.com/@AllisterSingh" TargetMode="External"/><Relationship Id="rId106" Type="http://schemas.openxmlformats.org/officeDocument/2006/relationships/hyperlink" Target="https://www.youtube.com/@PokkenOCE" TargetMode="External"/><Relationship Id="rId107" Type="http://schemas.openxmlformats.org/officeDocument/2006/relationships/hyperlink" Target="https://www.youtube.com/@RaitsukSage0NARUTO" TargetMode="External"/><Relationship Id="rId108" Type="http://schemas.openxmlformats.org/officeDocument/2006/relationships/hyperlink" Target="https://www.youtube.com/@Poooll" TargetMode="External"/><Relationship Id="rId109" Type="http://schemas.openxmlformats.org/officeDocument/2006/relationships/hyperlink" Target="https://www.youtube.com/@Steinsdomain" TargetMode="External"/><Relationship Id="rId110" Type="http://schemas.openxmlformats.org/officeDocument/2006/relationships/hyperlink" Target="https://www.youtube.com/@BlameTheLagFGC" TargetMode="External"/><Relationship Id="rId111" Type="http://schemas.openxmlformats.org/officeDocument/2006/relationships/hyperlink" Target="https://www.youtube.com/@&#12397;&#12378;&#12415;_nezumi" TargetMode="External"/><Relationship Id="rId112" Type="http://schemas.openxmlformats.org/officeDocument/2006/relationships/hyperlink" Target="https://www.youtube.com/@TheJinJourneys" TargetMode="External"/><Relationship Id="rId113" Type="http://schemas.openxmlformats.org/officeDocument/2006/relationships/hyperlink" Target="https://www.youtube.com/@BronyFang" TargetMode="External"/><Relationship Id="rId114" Type="http://schemas.openxmlformats.org/officeDocument/2006/relationships/hyperlink" Target="https://www.youtube.com/@pokkennet8277" TargetMode="External"/><Relationship Id="rId115" Type="http://schemas.openxmlformats.org/officeDocument/2006/relationships/hyperlink" Target="https://www.youtube.com/@PuppyHavoc" TargetMode="External"/><Relationship Id="rId116" Type="http://schemas.openxmlformats.org/officeDocument/2006/relationships/hyperlink" Target="https://www.youtube.com/@meowingtons8816" TargetMode="External"/><Relationship Id="rId117" Type="http://schemas.openxmlformats.org/officeDocument/2006/relationships/hyperlink" Target="https://www.youtube.com/@Plume-i" TargetMode="External"/><Relationship Id="rId118" Type="http://schemas.openxmlformats.org/officeDocument/2006/relationships/hyperlink" Target="https://www.youtube.com/@pokkennet8585" TargetMode="External"/><Relationship Id="rId119" Type="http://schemas.openxmlformats.org/officeDocument/2006/relationships/hyperlink" Target="https://www.youtube.com/@PizzamonkeyFGC" TargetMode="External"/><Relationship Id="rId120" Type="http://schemas.openxmlformats.org/officeDocument/2006/relationships/hyperlink" Target="https://www.youtube.com/" TargetMode="External"/><Relationship Id="rId12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48"/>
    <col collapsed="false" customWidth="true" hidden="false" outlineLevel="0" max="3" min="3" style="0" width="16"/>
    <col collapsed="false" customWidth="true" hidden="false" outlineLevel="0" max="5" min="4" style="0" width="14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9" min="8" style="0" width="18"/>
    <col collapsed="false" customWidth="true" hidden="false" outlineLevel="0" max="10" min="10" style="0" width="10"/>
    <col collapsed="false" customWidth="true" hidden="false" outlineLevel="0" max="11" min="11" style="0" width="60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s">
        <v>11</v>
      </c>
      <c r="B2" s="3" t="s">
        <v>12</v>
      </c>
      <c r="C2" s="4" t="n">
        <v>19800000</v>
      </c>
      <c r="D2" s="2" t="s">
        <v>13</v>
      </c>
      <c r="E2" s="5" t="s">
        <v>14</v>
      </c>
      <c r="F2" s="5" t="s">
        <v>15</v>
      </c>
      <c r="G2" s="5" t="n">
        <v>1</v>
      </c>
      <c r="H2" s="5" t="s">
        <v>16</v>
      </c>
      <c r="I2" s="5"/>
      <c r="J2" s="5" t="s">
        <v>17</v>
      </c>
      <c r="K2" s="2" t="s">
        <v>18</v>
      </c>
    </row>
    <row r="3" customFormat="false" ht="15" hidden="false" customHeight="false" outlineLevel="0" collapsed="false">
      <c r="A3" s="2" t="s">
        <v>19</v>
      </c>
      <c r="B3" s="3" t="s">
        <v>20</v>
      </c>
      <c r="C3" s="4" t="n">
        <v>8140000</v>
      </c>
      <c r="D3" s="2" t="s">
        <v>21</v>
      </c>
      <c r="E3" s="5" t="s">
        <v>22</v>
      </c>
      <c r="F3" s="5" t="s">
        <v>23</v>
      </c>
      <c r="G3" s="5" t="n">
        <v>1</v>
      </c>
      <c r="H3" s="5" t="s">
        <v>16</v>
      </c>
      <c r="I3" s="5"/>
      <c r="J3" s="5" t="s">
        <v>17</v>
      </c>
      <c r="K3" s="2" t="s">
        <v>18</v>
      </c>
    </row>
    <row r="4" customFormat="false" ht="15" hidden="false" customHeight="false" outlineLevel="0" collapsed="false">
      <c r="A4" s="6" t="s">
        <v>24</v>
      </c>
      <c r="B4" s="7" t="s">
        <v>25</v>
      </c>
      <c r="C4" s="8" t="n">
        <v>6890000</v>
      </c>
      <c r="D4" s="6" t="s">
        <v>26</v>
      </c>
      <c r="E4" s="9" t="s">
        <v>27</v>
      </c>
      <c r="F4" s="9" t="s">
        <v>28</v>
      </c>
      <c r="G4" s="9" t="n">
        <v>6</v>
      </c>
      <c r="H4" s="9" t="s">
        <v>29</v>
      </c>
      <c r="I4" s="9"/>
      <c r="J4" s="9" t="s">
        <v>17</v>
      </c>
      <c r="K4" s="6" t="s">
        <v>30</v>
      </c>
    </row>
    <row r="5" customFormat="false" ht="15" hidden="false" customHeight="false" outlineLevel="0" collapsed="false">
      <c r="A5" s="2" t="s">
        <v>31</v>
      </c>
      <c r="B5" s="3" t="s">
        <v>32</v>
      </c>
      <c r="C5" s="4" t="n">
        <v>5670000</v>
      </c>
      <c r="D5" s="2" t="s">
        <v>33</v>
      </c>
      <c r="E5" s="5" t="s">
        <v>34</v>
      </c>
      <c r="F5" s="5" t="s">
        <v>23</v>
      </c>
      <c r="G5" s="5" t="n">
        <v>2</v>
      </c>
      <c r="H5" s="5" t="s">
        <v>35</v>
      </c>
      <c r="I5" s="5"/>
      <c r="J5" s="5" t="s">
        <v>17</v>
      </c>
      <c r="K5" s="2" t="s">
        <v>36</v>
      </c>
    </row>
    <row r="6" customFormat="false" ht="15" hidden="false" customHeight="false" outlineLevel="0" collapsed="false">
      <c r="A6" s="2" t="s">
        <v>37</v>
      </c>
      <c r="B6" s="3" t="s">
        <v>38</v>
      </c>
      <c r="C6" s="4" t="n">
        <v>5170000</v>
      </c>
      <c r="D6" s="2" t="s">
        <v>39</v>
      </c>
      <c r="E6" s="5" t="s">
        <v>40</v>
      </c>
      <c r="F6" s="5" t="s">
        <v>41</v>
      </c>
      <c r="G6" s="5" t="n">
        <v>1</v>
      </c>
      <c r="H6" s="5" t="s">
        <v>16</v>
      </c>
      <c r="I6" s="5"/>
      <c r="J6" s="5" t="s">
        <v>17</v>
      </c>
      <c r="K6" s="2" t="s">
        <v>42</v>
      </c>
    </row>
    <row r="7" customFormat="false" ht="15" hidden="false" customHeight="false" outlineLevel="0" collapsed="false">
      <c r="A7" s="6" t="s">
        <v>43</v>
      </c>
      <c r="B7" s="7" t="s">
        <v>44</v>
      </c>
      <c r="C7" s="8" t="n">
        <v>3970000</v>
      </c>
      <c r="D7" s="6" t="s">
        <v>45</v>
      </c>
      <c r="E7" s="9" t="s">
        <v>40</v>
      </c>
      <c r="F7" s="9" t="s">
        <v>46</v>
      </c>
      <c r="G7" s="9" t="n">
        <v>8</v>
      </c>
      <c r="H7" s="9" t="s">
        <v>29</v>
      </c>
      <c r="I7" s="9"/>
      <c r="J7" s="9" t="s">
        <v>47</v>
      </c>
      <c r="K7" s="6" t="s">
        <v>48</v>
      </c>
    </row>
    <row r="8" customFormat="false" ht="15" hidden="false" customHeight="false" outlineLevel="0" collapsed="false">
      <c r="A8" s="2" t="s">
        <v>49</v>
      </c>
      <c r="B8" s="3" t="s">
        <v>50</v>
      </c>
      <c r="C8" s="4" t="n">
        <v>3640000</v>
      </c>
      <c r="D8" s="2" t="s">
        <v>51</v>
      </c>
      <c r="E8" s="5" t="s">
        <v>52</v>
      </c>
      <c r="F8" s="5" t="s">
        <v>28</v>
      </c>
      <c r="G8" s="5" t="n">
        <v>1</v>
      </c>
      <c r="H8" s="5" t="s">
        <v>16</v>
      </c>
      <c r="I8" s="5"/>
      <c r="J8" s="5" t="s">
        <v>47</v>
      </c>
      <c r="K8" s="2" t="s">
        <v>53</v>
      </c>
    </row>
    <row r="9" customFormat="false" ht="15" hidden="false" customHeight="false" outlineLevel="0" collapsed="false">
      <c r="A9" s="2" t="s">
        <v>54</v>
      </c>
      <c r="B9" s="3" t="s">
        <v>55</v>
      </c>
      <c r="C9" s="4" t="n">
        <v>2610000</v>
      </c>
      <c r="D9" s="2" t="s">
        <v>56</v>
      </c>
      <c r="E9" s="5" t="s">
        <v>57</v>
      </c>
      <c r="F9" s="5" t="s">
        <v>58</v>
      </c>
      <c r="G9" s="5" t="n">
        <v>1</v>
      </c>
      <c r="H9" s="5" t="s">
        <v>16</v>
      </c>
      <c r="I9" s="5"/>
      <c r="J9" s="5" t="s">
        <v>17</v>
      </c>
      <c r="K9" s="2" t="s">
        <v>18</v>
      </c>
    </row>
    <row r="10" customFormat="false" ht="15" hidden="false" customHeight="false" outlineLevel="0" collapsed="false">
      <c r="A10" s="2" t="s">
        <v>59</v>
      </c>
      <c r="B10" s="3" t="s">
        <v>60</v>
      </c>
      <c r="C10" s="4" t="n">
        <v>2030000</v>
      </c>
      <c r="D10" s="2" t="s">
        <v>61</v>
      </c>
      <c r="E10" s="5" t="s">
        <v>62</v>
      </c>
      <c r="F10" s="5" t="s">
        <v>63</v>
      </c>
      <c r="G10" s="5" t="n">
        <v>2</v>
      </c>
      <c r="H10" s="5" t="s">
        <v>35</v>
      </c>
      <c r="I10" s="5"/>
      <c r="J10" s="5" t="s">
        <v>17</v>
      </c>
      <c r="K10" s="2" t="s">
        <v>42</v>
      </c>
    </row>
    <row r="11" customFormat="false" ht="15" hidden="false" customHeight="false" outlineLevel="0" collapsed="false">
      <c r="A11" s="2" t="s">
        <v>64</v>
      </c>
      <c r="B11" s="3" t="s">
        <v>65</v>
      </c>
      <c r="C11" s="4" t="n">
        <v>1970000</v>
      </c>
      <c r="D11" s="2" t="s">
        <v>66</v>
      </c>
      <c r="E11" s="5" t="s">
        <v>67</v>
      </c>
      <c r="F11" s="5" t="s">
        <v>68</v>
      </c>
      <c r="G11" s="5" t="n">
        <v>2</v>
      </c>
      <c r="H11" s="5" t="s">
        <v>35</v>
      </c>
      <c r="I11" s="5"/>
      <c r="J11" s="5" t="s">
        <v>17</v>
      </c>
      <c r="K11" s="2" t="s">
        <v>48</v>
      </c>
    </row>
    <row r="12" customFormat="false" ht="15" hidden="false" customHeight="false" outlineLevel="0" collapsed="false">
      <c r="A12" s="2" t="s">
        <v>69</v>
      </c>
      <c r="B12" s="3" t="s">
        <v>70</v>
      </c>
      <c r="C12" s="4" t="n">
        <v>1750000</v>
      </c>
      <c r="D12" s="2" t="s">
        <v>71</v>
      </c>
      <c r="E12" s="5" t="s">
        <v>72</v>
      </c>
      <c r="F12" s="5" t="s">
        <v>15</v>
      </c>
      <c r="G12" s="5" t="n">
        <v>1</v>
      </c>
      <c r="H12" s="5" t="s">
        <v>16</v>
      </c>
      <c r="I12" s="5"/>
      <c r="J12" s="5" t="s">
        <v>17</v>
      </c>
      <c r="K12" s="2" t="s">
        <v>73</v>
      </c>
    </row>
    <row r="13" customFormat="false" ht="15" hidden="false" customHeight="false" outlineLevel="0" collapsed="false">
      <c r="A13" s="2" t="s">
        <v>74</v>
      </c>
      <c r="B13" s="3" t="s">
        <v>75</v>
      </c>
      <c r="C13" s="4" t="n">
        <v>1340000</v>
      </c>
      <c r="D13" s="2" t="s">
        <v>76</v>
      </c>
      <c r="E13" s="5" t="s">
        <v>77</v>
      </c>
      <c r="F13" s="5" t="s">
        <v>78</v>
      </c>
      <c r="G13" s="5" t="n">
        <v>1</v>
      </c>
      <c r="H13" s="5" t="s">
        <v>16</v>
      </c>
      <c r="I13" s="5"/>
      <c r="J13" s="5" t="s">
        <v>17</v>
      </c>
      <c r="K13" s="2" t="s">
        <v>18</v>
      </c>
    </row>
    <row r="14" customFormat="false" ht="15" hidden="false" customHeight="false" outlineLevel="0" collapsed="false">
      <c r="A14" s="2" t="s">
        <v>79</v>
      </c>
      <c r="B14" s="3" t="s">
        <v>80</v>
      </c>
      <c r="C14" s="4" t="n">
        <v>1030000</v>
      </c>
      <c r="D14" s="2" t="s">
        <v>81</v>
      </c>
      <c r="E14" s="5" t="s">
        <v>82</v>
      </c>
      <c r="F14" s="5" t="s">
        <v>83</v>
      </c>
      <c r="G14" s="5" t="n">
        <v>1</v>
      </c>
      <c r="H14" s="5" t="s">
        <v>16</v>
      </c>
      <c r="I14" s="5"/>
      <c r="J14" s="5" t="s">
        <v>17</v>
      </c>
      <c r="K14" s="2" t="s">
        <v>18</v>
      </c>
    </row>
    <row r="15" customFormat="false" ht="15" hidden="false" customHeight="false" outlineLevel="0" collapsed="false">
      <c r="A15" s="2" t="s">
        <v>84</v>
      </c>
      <c r="B15" s="3" t="s">
        <v>85</v>
      </c>
      <c r="C15" s="4" t="n">
        <v>876000</v>
      </c>
      <c r="D15" s="2" t="s">
        <v>86</v>
      </c>
      <c r="E15" s="5" t="s">
        <v>87</v>
      </c>
      <c r="F15" s="5" t="s">
        <v>28</v>
      </c>
      <c r="G15" s="5" t="n">
        <v>1</v>
      </c>
      <c r="H15" s="5" t="s">
        <v>16</v>
      </c>
      <c r="I15" s="5"/>
      <c r="J15" s="5" t="s">
        <v>17</v>
      </c>
      <c r="K15" s="2" t="s">
        <v>18</v>
      </c>
    </row>
    <row r="16" customFormat="false" ht="15" hidden="false" customHeight="false" outlineLevel="0" collapsed="false">
      <c r="A16" s="2" t="s">
        <v>88</v>
      </c>
      <c r="B16" s="3" t="s">
        <v>89</v>
      </c>
      <c r="C16" s="4" t="n">
        <v>845000</v>
      </c>
      <c r="D16" s="2" t="s">
        <v>90</v>
      </c>
      <c r="E16" s="5" t="s">
        <v>72</v>
      </c>
      <c r="F16" s="5" t="s">
        <v>91</v>
      </c>
      <c r="G16" s="5" t="n">
        <v>1</v>
      </c>
      <c r="H16" s="5" t="s">
        <v>16</v>
      </c>
      <c r="I16" s="5"/>
      <c r="J16" s="5" t="s">
        <v>17</v>
      </c>
      <c r="K16" s="2" t="s">
        <v>92</v>
      </c>
    </row>
    <row r="17" customFormat="false" ht="15" hidden="false" customHeight="false" outlineLevel="0" collapsed="false">
      <c r="A17" s="2" t="s">
        <v>93</v>
      </c>
      <c r="B17" s="3" t="s">
        <v>94</v>
      </c>
      <c r="C17" s="4" t="n">
        <v>734000</v>
      </c>
      <c r="D17" s="2" t="s">
        <v>95</v>
      </c>
      <c r="E17" s="5" t="s">
        <v>96</v>
      </c>
      <c r="F17" s="5" t="s">
        <v>97</v>
      </c>
      <c r="G17" s="5" t="n">
        <v>2</v>
      </c>
      <c r="H17" s="5" t="s">
        <v>35</v>
      </c>
      <c r="I17" s="5"/>
      <c r="J17" s="5" t="s">
        <v>17</v>
      </c>
      <c r="K17" s="2" t="s">
        <v>98</v>
      </c>
    </row>
    <row r="18" customFormat="false" ht="15" hidden="false" customHeight="false" outlineLevel="0" collapsed="false">
      <c r="A18" s="6" t="s">
        <v>99</v>
      </c>
      <c r="B18" s="7" t="s">
        <v>100</v>
      </c>
      <c r="C18" s="8" t="n">
        <v>710000</v>
      </c>
      <c r="D18" s="6" t="s">
        <v>101</v>
      </c>
      <c r="E18" s="9" t="s">
        <v>102</v>
      </c>
      <c r="F18" s="9" t="s">
        <v>103</v>
      </c>
      <c r="G18" s="9" t="n">
        <v>4</v>
      </c>
      <c r="H18" s="9" t="s">
        <v>29</v>
      </c>
      <c r="I18" s="9"/>
      <c r="J18" s="9" t="s">
        <v>17</v>
      </c>
      <c r="K18" s="6" t="s">
        <v>104</v>
      </c>
    </row>
    <row r="19" customFormat="false" ht="15" hidden="false" customHeight="false" outlineLevel="0" collapsed="false">
      <c r="A19" s="2" t="s">
        <v>105</v>
      </c>
      <c r="B19" s="3" t="s">
        <v>106</v>
      </c>
      <c r="C19" s="4" t="n">
        <v>669000</v>
      </c>
      <c r="D19" s="2" t="s">
        <v>107</v>
      </c>
      <c r="E19" s="5" t="s">
        <v>108</v>
      </c>
      <c r="F19" s="5" t="s">
        <v>109</v>
      </c>
      <c r="G19" s="5" t="n">
        <v>2</v>
      </c>
      <c r="H19" s="5" t="s">
        <v>35</v>
      </c>
      <c r="I19" s="5"/>
      <c r="J19" s="5" t="s">
        <v>17</v>
      </c>
      <c r="K19" s="2" t="s">
        <v>42</v>
      </c>
    </row>
    <row r="20" customFormat="false" ht="15" hidden="false" customHeight="false" outlineLevel="0" collapsed="false">
      <c r="A20" s="6" t="s">
        <v>110</v>
      </c>
      <c r="B20" s="7" t="s">
        <v>111</v>
      </c>
      <c r="C20" s="8" t="n">
        <v>628000</v>
      </c>
      <c r="D20" s="6" t="s">
        <v>112</v>
      </c>
      <c r="E20" s="9" t="s">
        <v>113</v>
      </c>
      <c r="F20" s="9" t="s">
        <v>114</v>
      </c>
      <c r="G20" s="9" t="n">
        <v>5</v>
      </c>
      <c r="H20" s="9" t="s">
        <v>29</v>
      </c>
      <c r="I20" s="9"/>
      <c r="J20" s="9" t="s">
        <v>17</v>
      </c>
      <c r="K20" s="6" t="s">
        <v>115</v>
      </c>
    </row>
    <row r="21" customFormat="false" ht="15" hidden="false" customHeight="false" outlineLevel="0" collapsed="false">
      <c r="A21" s="6" t="s">
        <v>116</v>
      </c>
      <c r="B21" s="7" t="s">
        <v>117</v>
      </c>
      <c r="C21" s="8" t="n">
        <v>621000</v>
      </c>
      <c r="D21" s="6" t="s">
        <v>118</v>
      </c>
      <c r="E21" s="9" t="s">
        <v>119</v>
      </c>
      <c r="F21" s="9" t="s">
        <v>120</v>
      </c>
      <c r="G21" s="9" t="n">
        <v>5</v>
      </c>
      <c r="H21" s="9" t="s">
        <v>29</v>
      </c>
      <c r="I21" s="10" t="s">
        <v>121</v>
      </c>
      <c r="J21" s="9" t="s">
        <v>47</v>
      </c>
      <c r="K21" s="6" t="s">
        <v>48</v>
      </c>
    </row>
    <row r="22" customFormat="false" ht="15" hidden="false" customHeight="false" outlineLevel="0" collapsed="false">
      <c r="A22" s="2" t="s">
        <v>122</v>
      </c>
      <c r="B22" s="3" t="s">
        <v>123</v>
      </c>
      <c r="C22" s="4" t="n">
        <v>565000</v>
      </c>
      <c r="D22" s="2" t="s">
        <v>124</v>
      </c>
      <c r="E22" s="5" t="s">
        <v>125</v>
      </c>
      <c r="F22" s="5" t="s">
        <v>126</v>
      </c>
      <c r="G22" s="5" t="n">
        <v>1</v>
      </c>
      <c r="H22" s="5" t="s">
        <v>16</v>
      </c>
      <c r="I22" s="5"/>
      <c r="J22" s="5" t="s">
        <v>17</v>
      </c>
      <c r="K22" s="2" t="s">
        <v>18</v>
      </c>
    </row>
    <row r="23" customFormat="false" ht="15" hidden="false" customHeight="false" outlineLevel="0" collapsed="false">
      <c r="A23" s="2" t="s">
        <v>127</v>
      </c>
      <c r="B23" s="3" t="s">
        <v>128</v>
      </c>
      <c r="C23" s="4" t="n">
        <v>553000</v>
      </c>
      <c r="D23" s="2" t="s">
        <v>129</v>
      </c>
      <c r="E23" s="5" t="s">
        <v>130</v>
      </c>
      <c r="F23" s="5" t="s">
        <v>131</v>
      </c>
      <c r="G23" s="5" t="n">
        <v>1</v>
      </c>
      <c r="H23" s="5" t="s">
        <v>16</v>
      </c>
      <c r="I23" s="5"/>
      <c r="J23" s="5" t="s">
        <v>17</v>
      </c>
      <c r="K23" s="2" t="s">
        <v>42</v>
      </c>
    </row>
    <row r="24" customFormat="false" ht="15" hidden="false" customHeight="false" outlineLevel="0" collapsed="false">
      <c r="A24" s="6" t="s">
        <v>132</v>
      </c>
      <c r="B24" s="7" t="s">
        <v>133</v>
      </c>
      <c r="C24" s="8" t="n">
        <v>499000</v>
      </c>
      <c r="D24" s="6" t="s">
        <v>134</v>
      </c>
      <c r="E24" s="9" t="s">
        <v>135</v>
      </c>
      <c r="F24" s="9" t="s">
        <v>114</v>
      </c>
      <c r="G24" s="9" t="n">
        <v>5</v>
      </c>
      <c r="H24" s="9" t="s">
        <v>29</v>
      </c>
      <c r="I24" s="9"/>
      <c r="J24" s="9" t="s">
        <v>17</v>
      </c>
      <c r="K24" s="6" t="s">
        <v>115</v>
      </c>
    </row>
    <row r="25" customFormat="false" ht="15" hidden="false" customHeight="false" outlineLevel="0" collapsed="false">
      <c r="A25" s="2" t="s">
        <v>136</v>
      </c>
      <c r="B25" s="3" t="s">
        <v>137</v>
      </c>
      <c r="C25" s="4" t="n">
        <v>447000</v>
      </c>
      <c r="D25" s="2" t="s">
        <v>138</v>
      </c>
      <c r="E25" s="5" t="s">
        <v>139</v>
      </c>
      <c r="F25" s="5" t="s">
        <v>28</v>
      </c>
      <c r="G25" s="5" t="n">
        <v>1</v>
      </c>
      <c r="H25" s="5" t="s">
        <v>16</v>
      </c>
      <c r="I25" s="5"/>
      <c r="J25" s="5" t="s">
        <v>17</v>
      </c>
      <c r="K25" s="2" t="s">
        <v>18</v>
      </c>
    </row>
    <row r="26" customFormat="false" ht="15" hidden="false" customHeight="false" outlineLevel="0" collapsed="false">
      <c r="A26" s="2" t="s">
        <v>140</v>
      </c>
      <c r="B26" s="3" t="s">
        <v>141</v>
      </c>
      <c r="C26" s="4" t="n">
        <v>385000</v>
      </c>
      <c r="D26" s="2" t="s">
        <v>142</v>
      </c>
      <c r="E26" s="5" t="s">
        <v>143</v>
      </c>
      <c r="F26" s="5" t="s">
        <v>144</v>
      </c>
      <c r="G26" s="5" t="n">
        <v>1</v>
      </c>
      <c r="H26" s="5" t="s">
        <v>16</v>
      </c>
      <c r="I26" s="5"/>
      <c r="J26" s="5" t="s">
        <v>17</v>
      </c>
      <c r="K26" s="2" t="s">
        <v>18</v>
      </c>
    </row>
    <row r="27" customFormat="false" ht="15" hidden="false" customHeight="false" outlineLevel="0" collapsed="false">
      <c r="A27" s="2" t="s">
        <v>145</v>
      </c>
      <c r="B27" s="3" t="s">
        <v>146</v>
      </c>
      <c r="C27" s="4" t="n">
        <v>370000</v>
      </c>
      <c r="D27" s="2" t="s">
        <v>147</v>
      </c>
      <c r="E27" s="5" t="s">
        <v>148</v>
      </c>
      <c r="F27" s="5" t="s">
        <v>126</v>
      </c>
      <c r="G27" s="5" t="n">
        <v>2</v>
      </c>
      <c r="H27" s="5" t="s">
        <v>35</v>
      </c>
      <c r="I27" s="5"/>
      <c r="J27" s="5" t="s">
        <v>17</v>
      </c>
      <c r="K27" s="2" t="s">
        <v>149</v>
      </c>
    </row>
    <row r="28" customFormat="false" ht="15" hidden="false" customHeight="false" outlineLevel="0" collapsed="false">
      <c r="A28" s="2" t="s">
        <v>150</v>
      </c>
      <c r="B28" s="3" t="s">
        <v>151</v>
      </c>
      <c r="C28" s="4" t="n">
        <v>343000</v>
      </c>
      <c r="D28" s="2" t="s">
        <v>152</v>
      </c>
      <c r="E28" s="5" t="s">
        <v>82</v>
      </c>
      <c r="F28" s="5" t="s">
        <v>153</v>
      </c>
      <c r="G28" s="5" t="n">
        <v>1</v>
      </c>
      <c r="H28" s="5" t="s">
        <v>16</v>
      </c>
      <c r="I28" s="5"/>
      <c r="J28" s="5" t="s">
        <v>17</v>
      </c>
      <c r="K28" s="2" t="s">
        <v>18</v>
      </c>
    </row>
    <row r="29" customFormat="false" ht="15" hidden="false" customHeight="false" outlineLevel="0" collapsed="false">
      <c r="A29" s="6" t="s">
        <v>154</v>
      </c>
      <c r="B29" s="7" t="s">
        <v>155</v>
      </c>
      <c r="C29" s="8" t="n">
        <v>314000</v>
      </c>
      <c r="D29" s="6" t="s">
        <v>156</v>
      </c>
      <c r="E29" s="9" t="s">
        <v>157</v>
      </c>
      <c r="F29" s="9" t="s">
        <v>158</v>
      </c>
      <c r="G29" s="9" t="n">
        <v>4</v>
      </c>
      <c r="H29" s="9" t="s">
        <v>29</v>
      </c>
      <c r="I29" s="9"/>
      <c r="J29" s="9" t="s">
        <v>17</v>
      </c>
      <c r="K29" s="6" t="s">
        <v>159</v>
      </c>
    </row>
    <row r="30" customFormat="false" ht="15" hidden="false" customHeight="false" outlineLevel="0" collapsed="false">
      <c r="A30" s="2" t="s">
        <v>160</v>
      </c>
      <c r="B30" s="3" t="s">
        <v>161</v>
      </c>
      <c r="C30" s="4" t="n">
        <v>308000</v>
      </c>
      <c r="D30" s="2" t="s">
        <v>162</v>
      </c>
      <c r="E30" s="5" t="s">
        <v>163</v>
      </c>
      <c r="F30" s="5" t="s">
        <v>164</v>
      </c>
      <c r="G30" s="5" t="n">
        <v>2</v>
      </c>
      <c r="H30" s="5" t="s">
        <v>35</v>
      </c>
      <c r="I30" s="5"/>
      <c r="J30" s="5" t="s">
        <v>17</v>
      </c>
      <c r="K30" s="2" t="s">
        <v>104</v>
      </c>
    </row>
    <row r="31" customFormat="false" ht="15" hidden="false" customHeight="false" outlineLevel="0" collapsed="false">
      <c r="A31" s="2" t="s">
        <v>165</v>
      </c>
      <c r="B31" s="3" t="s">
        <v>166</v>
      </c>
      <c r="C31" s="4" t="n">
        <v>275000</v>
      </c>
      <c r="D31" s="2" t="s">
        <v>167</v>
      </c>
      <c r="E31" s="5" t="s">
        <v>168</v>
      </c>
      <c r="F31" s="5" t="s">
        <v>169</v>
      </c>
      <c r="G31" s="5" t="n">
        <v>1</v>
      </c>
      <c r="H31" s="5" t="s">
        <v>16</v>
      </c>
      <c r="I31" s="5"/>
      <c r="J31" s="5" t="s">
        <v>17</v>
      </c>
      <c r="K31" s="2" t="s">
        <v>42</v>
      </c>
    </row>
    <row r="32" customFormat="false" ht="15" hidden="false" customHeight="false" outlineLevel="0" collapsed="false">
      <c r="A32" s="2" t="s">
        <v>170</v>
      </c>
      <c r="B32" s="3" t="s">
        <v>171</v>
      </c>
      <c r="C32" s="4" t="n">
        <v>269000</v>
      </c>
      <c r="D32" s="2" t="s">
        <v>172</v>
      </c>
      <c r="E32" s="5" t="s">
        <v>173</v>
      </c>
      <c r="F32" s="5" t="s">
        <v>83</v>
      </c>
      <c r="G32" s="5" t="n">
        <v>1</v>
      </c>
      <c r="H32" s="5" t="s">
        <v>16</v>
      </c>
      <c r="I32" s="5"/>
      <c r="J32" s="5" t="s">
        <v>17</v>
      </c>
      <c r="K32" s="2" t="s">
        <v>73</v>
      </c>
    </row>
    <row r="33" customFormat="false" ht="15" hidden="false" customHeight="false" outlineLevel="0" collapsed="false">
      <c r="A33" s="2" t="s">
        <v>174</v>
      </c>
      <c r="B33" s="3" t="s">
        <v>175</v>
      </c>
      <c r="C33" s="4" t="n">
        <v>245000</v>
      </c>
      <c r="D33" s="2" t="s">
        <v>176</v>
      </c>
      <c r="E33" s="5" t="s">
        <v>177</v>
      </c>
      <c r="F33" s="5" t="s">
        <v>28</v>
      </c>
      <c r="G33" s="5" t="n">
        <v>2</v>
      </c>
      <c r="H33" s="5" t="s">
        <v>35</v>
      </c>
      <c r="I33" s="5"/>
      <c r="J33" s="5" t="s">
        <v>17</v>
      </c>
      <c r="K33" s="2" t="s">
        <v>178</v>
      </c>
    </row>
    <row r="34" customFormat="false" ht="15" hidden="false" customHeight="false" outlineLevel="0" collapsed="false">
      <c r="A34" s="2" t="s">
        <v>179</v>
      </c>
      <c r="B34" s="3" t="s">
        <v>180</v>
      </c>
      <c r="C34" s="4" t="n">
        <v>216000</v>
      </c>
      <c r="D34" s="2" t="s">
        <v>181</v>
      </c>
      <c r="E34" s="5" t="s">
        <v>182</v>
      </c>
      <c r="F34" s="5" t="s">
        <v>183</v>
      </c>
      <c r="G34" s="5" t="n">
        <v>1</v>
      </c>
      <c r="H34" s="5" t="s">
        <v>16</v>
      </c>
      <c r="I34" s="5"/>
      <c r="J34" s="5" t="s">
        <v>17</v>
      </c>
      <c r="K34" s="2" t="s">
        <v>92</v>
      </c>
    </row>
    <row r="35" customFormat="false" ht="15" hidden="false" customHeight="false" outlineLevel="0" collapsed="false">
      <c r="A35" s="2" t="s">
        <v>184</v>
      </c>
      <c r="B35" s="3" t="s">
        <v>185</v>
      </c>
      <c r="C35" s="4" t="n">
        <v>197000</v>
      </c>
      <c r="D35" s="2" t="s">
        <v>186</v>
      </c>
      <c r="E35" s="5" t="s">
        <v>187</v>
      </c>
      <c r="F35" s="5" t="s">
        <v>188</v>
      </c>
      <c r="G35" s="5" t="n">
        <v>1</v>
      </c>
      <c r="H35" s="5" t="s">
        <v>16</v>
      </c>
      <c r="I35" s="5"/>
      <c r="J35" s="5" t="s">
        <v>17</v>
      </c>
      <c r="K35" s="2" t="s">
        <v>189</v>
      </c>
    </row>
    <row r="36" customFormat="false" ht="15" hidden="false" customHeight="false" outlineLevel="0" collapsed="false">
      <c r="A36" s="2" t="s">
        <v>190</v>
      </c>
      <c r="B36" s="3" t="s">
        <v>191</v>
      </c>
      <c r="C36" s="4" t="n">
        <v>191000</v>
      </c>
      <c r="D36" s="2" t="s">
        <v>192</v>
      </c>
      <c r="E36" s="5" t="s">
        <v>193</v>
      </c>
      <c r="F36" s="5" t="s">
        <v>28</v>
      </c>
      <c r="G36" s="5" t="n">
        <v>1</v>
      </c>
      <c r="H36" s="5" t="s">
        <v>16</v>
      </c>
      <c r="I36" s="5"/>
      <c r="J36" s="5" t="s">
        <v>17</v>
      </c>
      <c r="K36" s="2" t="s">
        <v>189</v>
      </c>
    </row>
    <row r="37" customFormat="false" ht="15" hidden="false" customHeight="false" outlineLevel="0" collapsed="false">
      <c r="A37" s="2" t="s">
        <v>194</v>
      </c>
      <c r="B37" s="3" t="s">
        <v>195</v>
      </c>
      <c r="C37" s="4" t="n">
        <v>163000</v>
      </c>
      <c r="D37" s="2" t="s">
        <v>196</v>
      </c>
      <c r="E37" s="5" t="s">
        <v>197</v>
      </c>
      <c r="F37" s="5" t="s">
        <v>126</v>
      </c>
      <c r="G37" s="5" t="n">
        <v>1</v>
      </c>
      <c r="H37" s="5" t="s">
        <v>16</v>
      </c>
      <c r="I37" s="5"/>
      <c r="J37" s="5" t="s">
        <v>47</v>
      </c>
      <c r="K37" s="2" t="s">
        <v>53</v>
      </c>
    </row>
    <row r="38" customFormat="false" ht="15" hidden="false" customHeight="false" outlineLevel="0" collapsed="false">
      <c r="A38" s="2" t="s">
        <v>198</v>
      </c>
      <c r="B38" s="3" t="s">
        <v>199</v>
      </c>
      <c r="C38" s="4" t="n">
        <v>161000</v>
      </c>
      <c r="D38" s="2" t="s">
        <v>200</v>
      </c>
      <c r="E38" s="5" t="s">
        <v>148</v>
      </c>
      <c r="F38" s="5" t="s">
        <v>201</v>
      </c>
      <c r="G38" s="5" t="n">
        <v>2</v>
      </c>
      <c r="H38" s="5" t="s">
        <v>35</v>
      </c>
      <c r="I38" s="5"/>
      <c r="J38" s="5" t="s">
        <v>17</v>
      </c>
      <c r="K38" s="2" t="s">
        <v>104</v>
      </c>
    </row>
    <row r="39" customFormat="false" ht="15" hidden="false" customHeight="false" outlineLevel="0" collapsed="false">
      <c r="A39" s="2" t="s">
        <v>202</v>
      </c>
      <c r="B39" s="3" t="s">
        <v>203</v>
      </c>
      <c r="C39" s="4" t="n">
        <v>150000</v>
      </c>
      <c r="D39" s="2" t="s">
        <v>204</v>
      </c>
      <c r="E39" s="5" t="s">
        <v>205</v>
      </c>
      <c r="F39" s="5" t="s">
        <v>206</v>
      </c>
      <c r="G39" s="5" t="n">
        <v>1</v>
      </c>
      <c r="H39" s="5" t="s">
        <v>16</v>
      </c>
      <c r="I39" s="5"/>
      <c r="J39" s="5" t="s">
        <v>17</v>
      </c>
      <c r="K39" s="2" t="s">
        <v>207</v>
      </c>
    </row>
    <row r="40" customFormat="false" ht="15" hidden="false" customHeight="false" outlineLevel="0" collapsed="false">
      <c r="A40" s="6" t="s">
        <v>208</v>
      </c>
      <c r="B40" s="7" t="s">
        <v>209</v>
      </c>
      <c r="C40" s="8" t="n">
        <v>148000</v>
      </c>
      <c r="D40" s="6" t="s">
        <v>210</v>
      </c>
      <c r="E40" s="9" t="s">
        <v>82</v>
      </c>
      <c r="F40" s="9" t="s">
        <v>211</v>
      </c>
      <c r="G40" s="9" t="n">
        <v>5</v>
      </c>
      <c r="H40" s="9" t="s">
        <v>29</v>
      </c>
      <c r="I40" s="9"/>
      <c r="J40" s="9" t="s">
        <v>17</v>
      </c>
      <c r="K40" s="6" t="s">
        <v>115</v>
      </c>
    </row>
    <row r="41" customFormat="false" ht="15" hidden="false" customHeight="false" outlineLevel="0" collapsed="false">
      <c r="A41" s="2" t="s">
        <v>212</v>
      </c>
      <c r="B41" s="3" t="s">
        <v>213</v>
      </c>
      <c r="C41" s="4" t="n">
        <v>130000</v>
      </c>
      <c r="D41" s="2" t="s">
        <v>214</v>
      </c>
      <c r="E41" s="5" t="s">
        <v>215</v>
      </c>
      <c r="F41" s="5" t="s">
        <v>216</v>
      </c>
      <c r="G41" s="5" t="n">
        <v>3</v>
      </c>
      <c r="H41" s="5" t="s">
        <v>35</v>
      </c>
      <c r="I41" s="5"/>
      <c r="J41" s="5" t="s">
        <v>17</v>
      </c>
      <c r="K41" s="2" t="s">
        <v>217</v>
      </c>
    </row>
    <row r="42" customFormat="false" ht="15" hidden="false" customHeight="false" outlineLevel="0" collapsed="false">
      <c r="A42" s="2" t="s">
        <v>218</v>
      </c>
      <c r="B42" s="3" t="s">
        <v>219</v>
      </c>
      <c r="C42" s="4" t="n">
        <v>122000</v>
      </c>
      <c r="D42" s="2" t="s">
        <v>220</v>
      </c>
      <c r="E42" s="5" t="s">
        <v>221</v>
      </c>
      <c r="F42" s="5" t="s">
        <v>222</v>
      </c>
      <c r="G42" s="5" t="n">
        <v>2</v>
      </c>
      <c r="H42" s="5" t="s">
        <v>35</v>
      </c>
      <c r="I42" s="5"/>
      <c r="J42" s="5" t="s">
        <v>17</v>
      </c>
      <c r="K42" s="2" t="s">
        <v>223</v>
      </c>
    </row>
    <row r="43" customFormat="false" ht="15" hidden="false" customHeight="false" outlineLevel="0" collapsed="false">
      <c r="A43" s="2" t="s">
        <v>224</v>
      </c>
      <c r="B43" s="3" t="s">
        <v>225</v>
      </c>
      <c r="C43" s="4" t="n">
        <v>103000</v>
      </c>
      <c r="D43" s="2" t="s">
        <v>226</v>
      </c>
      <c r="E43" s="5" t="s">
        <v>227</v>
      </c>
      <c r="F43" s="5" t="s">
        <v>41</v>
      </c>
      <c r="G43" s="5" t="n">
        <v>1</v>
      </c>
      <c r="H43" s="5" t="s">
        <v>16</v>
      </c>
      <c r="I43" s="5"/>
      <c r="J43" s="5" t="s">
        <v>17</v>
      </c>
      <c r="K43" s="2" t="s">
        <v>189</v>
      </c>
    </row>
    <row r="44" customFormat="false" ht="15" hidden="false" customHeight="false" outlineLevel="0" collapsed="false">
      <c r="A44" s="2" t="s">
        <v>228</v>
      </c>
      <c r="B44" s="3" t="s">
        <v>229</v>
      </c>
      <c r="C44" s="4" t="n">
        <v>90700</v>
      </c>
      <c r="D44" s="2" t="s">
        <v>230</v>
      </c>
      <c r="E44" s="5" t="s">
        <v>231</v>
      </c>
      <c r="F44" s="5" t="s">
        <v>232</v>
      </c>
      <c r="G44" s="5" t="n">
        <v>2</v>
      </c>
      <c r="H44" s="5" t="s">
        <v>35</v>
      </c>
      <c r="I44" s="5"/>
      <c r="J44" s="5" t="s">
        <v>17</v>
      </c>
      <c r="K44" s="2" t="s">
        <v>48</v>
      </c>
    </row>
    <row r="45" customFormat="false" ht="15" hidden="false" customHeight="false" outlineLevel="0" collapsed="false">
      <c r="A45" s="2" t="s">
        <v>233</v>
      </c>
      <c r="B45" s="3" t="s">
        <v>234</v>
      </c>
      <c r="C45" s="4" t="n">
        <v>83500</v>
      </c>
      <c r="D45" s="2" t="s">
        <v>235</v>
      </c>
      <c r="E45" s="5" t="s">
        <v>236</v>
      </c>
      <c r="F45" s="5" t="s">
        <v>216</v>
      </c>
      <c r="G45" s="5" t="n">
        <v>1</v>
      </c>
      <c r="H45" s="5" t="s">
        <v>16</v>
      </c>
      <c r="I45" s="5"/>
      <c r="J45" s="5" t="s">
        <v>17</v>
      </c>
      <c r="K45" s="2" t="s">
        <v>42</v>
      </c>
    </row>
    <row r="46" customFormat="false" ht="15" hidden="false" customHeight="false" outlineLevel="0" collapsed="false">
      <c r="A46" s="6" t="s">
        <v>237</v>
      </c>
      <c r="B46" s="7" t="s">
        <v>238</v>
      </c>
      <c r="C46" s="8" t="n">
        <v>73000</v>
      </c>
      <c r="D46" s="6" t="s">
        <v>239</v>
      </c>
      <c r="E46" s="9" t="s">
        <v>240</v>
      </c>
      <c r="F46" s="9" t="s">
        <v>188</v>
      </c>
      <c r="G46" s="9" t="n">
        <v>4</v>
      </c>
      <c r="H46" s="9" t="s">
        <v>29</v>
      </c>
      <c r="I46" s="10" t="s">
        <v>121</v>
      </c>
      <c r="J46" s="9" t="s">
        <v>17</v>
      </c>
      <c r="K46" s="6" t="s">
        <v>241</v>
      </c>
    </row>
    <row r="47" customFormat="false" ht="15" hidden="false" customHeight="false" outlineLevel="0" collapsed="false">
      <c r="A47" s="2" t="s">
        <v>242</v>
      </c>
      <c r="B47" s="3" t="s">
        <v>243</v>
      </c>
      <c r="C47" s="4" t="n">
        <v>66000</v>
      </c>
      <c r="D47" s="2" t="s">
        <v>244</v>
      </c>
      <c r="E47" s="5" t="s">
        <v>245</v>
      </c>
      <c r="F47" s="5" t="s">
        <v>246</v>
      </c>
      <c r="G47" s="5" t="n">
        <v>2</v>
      </c>
      <c r="H47" s="5" t="s">
        <v>35</v>
      </c>
      <c r="I47" s="5"/>
      <c r="J47" s="5" t="s">
        <v>17</v>
      </c>
      <c r="K47" s="2" t="s">
        <v>178</v>
      </c>
    </row>
    <row r="48" customFormat="false" ht="15" hidden="false" customHeight="false" outlineLevel="0" collapsed="false">
      <c r="A48" s="2" t="s">
        <v>247</v>
      </c>
      <c r="B48" s="3" t="s">
        <v>248</v>
      </c>
      <c r="C48" s="4" t="n">
        <v>64200</v>
      </c>
      <c r="D48" s="2" t="s">
        <v>249</v>
      </c>
      <c r="E48" s="5" t="s">
        <v>250</v>
      </c>
      <c r="F48" s="5" t="s">
        <v>201</v>
      </c>
      <c r="G48" s="5" t="n">
        <v>1</v>
      </c>
      <c r="H48" s="5" t="s">
        <v>16</v>
      </c>
      <c r="I48" s="5"/>
      <c r="J48" s="5" t="s">
        <v>17</v>
      </c>
      <c r="K48" s="2" t="s">
        <v>42</v>
      </c>
    </row>
    <row r="49" customFormat="false" ht="15" hidden="false" customHeight="false" outlineLevel="0" collapsed="false">
      <c r="A49" s="2" t="s">
        <v>251</v>
      </c>
      <c r="B49" s="3" t="s">
        <v>252</v>
      </c>
      <c r="C49" s="4" t="n">
        <v>54000</v>
      </c>
      <c r="D49" s="2" t="s">
        <v>253</v>
      </c>
      <c r="E49" s="5" t="s">
        <v>254</v>
      </c>
      <c r="F49" s="5" t="s">
        <v>255</v>
      </c>
      <c r="G49" s="5" t="n">
        <v>1</v>
      </c>
      <c r="H49" s="5" t="s">
        <v>16</v>
      </c>
      <c r="I49" s="5"/>
      <c r="J49" s="5" t="s">
        <v>17</v>
      </c>
      <c r="K49" s="2" t="s">
        <v>73</v>
      </c>
    </row>
    <row r="50" customFormat="false" ht="15" hidden="false" customHeight="false" outlineLevel="0" collapsed="false">
      <c r="A50" s="2" t="s">
        <v>256</v>
      </c>
      <c r="B50" s="3" t="s">
        <v>257</v>
      </c>
      <c r="C50" s="4" t="n">
        <v>52900</v>
      </c>
      <c r="D50" s="2" t="s">
        <v>258</v>
      </c>
      <c r="E50" s="5" t="s">
        <v>259</v>
      </c>
      <c r="F50" s="5" t="s">
        <v>28</v>
      </c>
      <c r="G50" s="5" t="n">
        <v>1</v>
      </c>
      <c r="H50" s="5" t="s">
        <v>16</v>
      </c>
      <c r="I50" s="5"/>
      <c r="J50" s="5" t="s">
        <v>17</v>
      </c>
      <c r="K50" s="2" t="s">
        <v>18</v>
      </c>
    </row>
    <row r="51" customFormat="false" ht="15" hidden="false" customHeight="false" outlineLevel="0" collapsed="false">
      <c r="A51" s="2" t="s">
        <v>260</v>
      </c>
      <c r="B51" s="3" t="s">
        <v>261</v>
      </c>
      <c r="C51" s="4" t="n">
        <v>45800</v>
      </c>
      <c r="D51" s="2" t="s">
        <v>262</v>
      </c>
      <c r="E51" s="5" t="s">
        <v>263</v>
      </c>
      <c r="F51" s="5" t="s">
        <v>144</v>
      </c>
      <c r="G51" s="5" t="n">
        <v>3</v>
      </c>
      <c r="H51" s="5" t="s">
        <v>35</v>
      </c>
      <c r="I51" s="5"/>
      <c r="J51" s="5" t="s">
        <v>17</v>
      </c>
      <c r="K51" s="2" t="s">
        <v>264</v>
      </c>
    </row>
    <row r="52" customFormat="false" ht="15" hidden="false" customHeight="false" outlineLevel="0" collapsed="false">
      <c r="A52" s="2" t="s">
        <v>265</v>
      </c>
      <c r="B52" s="3" t="s">
        <v>266</v>
      </c>
      <c r="C52" s="4" t="n">
        <v>45500</v>
      </c>
      <c r="D52" s="2" t="s">
        <v>267</v>
      </c>
      <c r="E52" s="5" t="s">
        <v>40</v>
      </c>
      <c r="F52" s="5" t="s">
        <v>268</v>
      </c>
      <c r="G52" s="5" t="n">
        <v>1</v>
      </c>
      <c r="H52" s="5" t="s">
        <v>16</v>
      </c>
      <c r="I52" s="5"/>
      <c r="J52" s="5" t="s">
        <v>17</v>
      </c>
      <c r="K52" s="2" t="s">
        <v>207</v>
      </c>
    </row>
    <row r="53" customFormat="false" ht="15" hidden="false" customHeight="false" outlineLevel="0" collapsed="false">
      <c r="A53" s="2" t="s">
        <v>269</v>
      </c>
      <c r="B53" s="3" t="s">
        <v>270</v>
      </c>
      <c r="C53" s="4" t="n">
        <v>43300</v>
      </c>
      <c r="D53" s="2" t="s">
        <v>271</v>
      </c>
      <c r="E53" s="5" t="s">
        <v>272</v>
      </c>
      <c r="F53" s="5" t="s">
        <v>222</v>
      </c>
      <c r="G53" s="5" t="n">
        <v>1</v>
      </c>
      <c r="H53" s="5" t="s">
        <v>16</v>
      </c>
      <c r="I53" s="5"/>
      <c r="J53" s="5" t="s">
        <v>17</v>
      </c>
      <c r="K53" s="2" t="s">
        <v>92</v>
      </c>
    </row>
    <row r="54" customFormat="false" ht="15" hidden="false" customHeight="false" outlineLevel="0" collapsed="false">
      <c r="A54" s="2" t="s">
        <v>273</v>
      </c>
      <c r="B54" s="3" t="s">
        <v>274</v>
      </c>
      <c r="C54" s="4" t="n">
        <v>40900</v>
      </c>
      <c r="D54" s="2" t="s">
        <v>275</v>
      </c>
      <c r="E54" s="5" t="s">
        <v>276</v>
      </c>
      <c r="F54" s="5" t="s">
        <v>41</v>
      </c>
      <c r="G54" s="5" t="n">
        <v>1</v>
      </c>
      <c r="H54" s="5" t="s">
        <v>16</v>
      </c>
      <c r="I54" s="5"/>
      <c r="J54" s="5" t="s">
        <v>47</v>
      </c>
      <c r="K54" s="2" t="s">
        <v>53</v>
      </c>
    </row>
    <row r="55" customFormat="false" ht="15" hidden="false" customHeight="false" outlineLevel="0" collapsed="false">
      <c r="A55" s="2" t="s">
        <v>277</v>
      </c>
      <c r="B55" s="3" t="s">
        <v>278</v>
      </c>
      <c r="C55" s="4" t="n">
        <v>36800</v>
      </c>
      <c r="D55" s="2" t="s">
        <v>279</v>
      </c>
      <c r="E55" s="5" t="s">
        <v>280</v>
      </c>
      <c r="F55" s="5" t="s">
        <v>28</v>
      </c>
      <c r="G55" s="5" t="n">
        <v>3</v>
      </c>
      <c r="H55" s="5" t="s">
        <v>35</v>
      </c>
      <c r="I55" s="5"/>
      <c r="J55" s="5" t="s">
        <v>17</v>
      </c>
      <c r="K55" s="2" t="s">
        <v>92</v>
      </c>
    </row>
    <row r="56" customFormat="false" ht="15" hidden="false" customHeight="false" outlineLevel="0" collapsed="false">
      <c r="A56" s="2" t="s">
        <v>281</v>
      </c>
      <c r="B56" s="3" t="s">
        <v>282</v>
      </c>
      <c r="C56" s="4" t="n">
        <v>36400</v>
      </c>
      <c r="D56" s="2" t="s">
        <v>283</v>
      </c>
      <c r="E56" s="5" t="s">
        <v>284</v>
      </c>
      <c r="F56" s="5" t="s">
        <v>285</v>
      </c>
      <c r="G56" s="5" t="n">
        <v>1</v>
      </c>
      <c r="H56" s="5" t="s">
        <v>16</v>
      </c>
      <c r="I56" s="5"/>
      <c r="J56" s="5" t="s">
        <v>17</v>
      </c>
      <c r="K56" s="2" t="s">
        <v>73</v>
      </c>
    </row>
    <row r="57" customFormat="false" ht="15" hidden="false" customHeight="false" outlineLevel="0" collapsed="false">
      <c r="A57" s="2" t="s">
        <v>286</v>
      </c>
      <c r="B57" s="3" t="s">
        <v>287</v>
      </c>
      <c r="C57" s="4" t="n">
        <v>34500</v>
      </c>
      <c r="D57" s="2" t="s">
        <v>288</v>
      </c>
      <c r="E57" s="5" t="s">
        <v>289</v>
      </c>
      <c r="F57" s="5" t="s">
        <v>201</v>
      </c>
      <c r="G57" s="5" t="n">
        <v>3</v>
      </c>
      <c r="H57" s="5" t="s">
        <v>35</v>
      </c>
      <c r="I57" s="5"/>
      <c r="J57" s="5" t="s">
        <v>17</v>
      </c>
      <c r="K57" s="2" t="s">
        <v>290</v>
      </c>
    </row>
    <row r="58" customFormat="false" ht="15" hidden="false" customHeight="false" outlineLevel="0" collapsed="false">
      <c r="A58" s="2" t="s">
        <v>291</v>
      </c>
      <c r="B58" s="3" t="s">
        <v>292</v>
      </c>
      <c r="C58" s="4" t="n">
        <v>30500</v>
      </c>
      <c r="D58" s="2" t="s">
        <v>293</v>
      </c>
      <c r="E58" s="5" t="s">
        <v>294</v>
      </c>
      <c r="F58" s="5" t="s">
        <v>83</v>
      </c>
      <c r="G58" s="5" t="n">
        <v>1</v>
      </c>
      <c r="H58" s="5" t="s">
        <v>16</v>
      </c>
      <c r="I58" s="5"/>
      <c r="J58" s="5" t="s">
        <v>17</v>
      </c>
      <c r="K58" s="2" t="s">
        <v>92</v>
      </c>
    </row>
    <row r="59" customFormat="false" ht="15" hidden="false" customHeight="false" outlineLevel="0" collapsed="false">
      <c r="A59" s="2" t="s">
        <v>295</v>
      </c>
      <c r="B59" s="3" t="s">
        <v>296</v>
      </c>
      <c r="C59" s="4" t="n">
        <v>29400</v>
      </c>
      <c r="D59" s="2" t="s">
        <v>297</v>
      </c>
      <c r="E59" s="5" t="s">
        <v>298</v>
      </c>
      <c r="F59" s="5" t="s">
        <v>78</v>
      </c>
      <c r="G59" s="5" t="n">
        <v>1</v>
      </c>
      <c r="H59" s="5" t="s">
        <v>16</v>
      </c>
      <c r="I59" s="5"/>
      <c r="J59" s="5" t="s">
        <v>17</v>
      </c>
      <c r="K59" s="2" t="s">
        <v>42</v>
      </c>
    </row>
    <row r="60" customFormat="false" ht="15" hidden="false" customHeight="false" outlineLevel="0" collapsed="false">
      <c r="A60" s="2" t="s">
        <v>299</v>
      </c>
      <c r="B60" s="3" t="s">
        <v>300</v>
      </c>
      <c r="C60" s="4" t="n">
        <v>28600</v>
      </c>
      <c r="D60" s="2" t="s">
        <v>301</v>
      </c>
      <c r="E60" s="5" t="s">
        <v>302</v>
      </c>
      <c r="F60" s="5" t="s">
        <v>164</v>
      </c>
      <c r="G60" s="5" t="n">
        <v>3</v>
      </c>
      <c r="H60" s="5" t="s">
        <v>35</v>
      </c>
      <c r="I60" s="5"/>
      <c r="J60" s="5" t="s">
        <v>17</v>
      </c>
      <c r="K60" s="2" t="s">
        <v>303</v>
      </c>
    </row>
    <row r="61" customFormat="false" ht="15" hidden="false" customHeight="false" outlineLevel="0" collapsed="false">
      <c r="A61" s="2" t="s">
        <v>304</v>
      </c>
      <c r="B61" s="3" t="s">
        <v>305</v>
      </c>
      <c r="C61" s="4" t="n">
        <v>28400</v>
      </c>
      <c r="D61" s="2" t="s">
        <v>306</v>
      </c>
      <c r="E61" s="5" t="s">
        <v>307</v>
      </c>
      <c r="F61" s="5" t="s">
        <v>144</v>
      </c>
      <c r="G61" s="5" t="n">
        <v>2</v>
      </c>
      <c r="H61" s="5" t="s">
        <v>35</v>
      </c>
      <c r="I61" s="5"/>
      <c r="J61" s="5" t="s">
        <v>17</v>
      </c>
      <c r="K61" s="2" t="s">
        <v>36</v>
      </c>
    </row>
    <row r="62" customFormat="false" ht="15" hidden="false" customHeight="false" outlineLevel="0" collapsed="false">
      <c r="A62" s="2" t="s">
        <v>308</v>
      </c>
      <c r="B62" s="3" t="s">
        <v>309</v>
      </c>
      <c r="C62" s="4" t="n">
        <v>21400</v>
      </c>
      <c r="D62" s="2" t="s">
        <v>310</v>
      </c>
      <c r="E62" s="5" t="s">
        <v>148</v>
      </c>
      <c r="F62" s="5" t="s">
        <v>126</v>
      </c>
      <c r="G62" s="5" t="n">
        <v>2</v>
      </c>
      <c r="H62" s="5" t="s">
        <v>35</v>
      </c>
      <c r="I62" s="5"/>
      <c r="J62" s="5" t="s">
        <v>17</v>
      </c>
      <c r="K62" s="2" t="s">
        <v>178</v>
      </c>
    </row>
    <row r="63" customFormat="false" ht="15" hidden="false" customHeight="false" outlineLevel="0" collapsed="false">
      <c r="A63" s="6" t="s">
        <v>311</v>
      </c>
      <c r="B63" s="7" t="s">
        <v>312</v>
      </c>
      <c r="C63" s="8" t="n">
        <v>20400</v>
      </c>
      <c r="D63" s="6" t="s">
        <v>313</v>
      </c>
      <c r="E63" s="9" t="s">
        <v>314</v>
      </c>
      <c r="F63" s="9" t="s">
        <v>41</v>
      </c>
      <c r="G63" s="9" t="n">
        <v>33</v>
      </c>
      <c r="H63" s="9" t="s">
        <v>29</v>
      </c>
      <c r="I63" s="9"/>
      <c r="J63" s="9" t="s">
        <v>17</v>
      </c>
      <c r="K63" s="6" t="s">
        <v>315</v>
      </c>
    </row>
    <row r="64" customFormat="false" ht="15" hidden="false" customHeight="false" outlineLevel="0" collapsed="false">
      <c r="A64" s="2" t="s">
        <v>316</v>
      </c>
      <c r="B64" s="3" t="s">
        <v>317</v>
      </c>
      <c r="C64" s="4" t="n">
        <v>17200</v>
      </c>
      <c r="D64" s="2" t="s">
        <v>318</v>
      </c>
      <c r="E64" s="5" t="s">
        <v>319</v>
      </c>
      <c r="F64" s="5" t="s">
        <v>158</v>
      </c>
      <c r="G64" s="5" t="n">
        <v>3</v>
      </c>
      <c r="H64" s="5" t="s">
        <v>35</v>
      </c>
      <c r="I64" s="5"/>
      <c r="J64" s="5" t="s">
        <v>17</v>
      </c>
      <c r="K64" s="2" t="s">
        <v>264</v>
      </c>
    </row>
    <row r="65" customFormat="false" ht="15" hidden="false" customHeight="false" outlineLevel="0" collapsed="false">
      <c r="A65" s="2" t="s">
        <v>320</v>
      </c>
      <c r="B65" s="3" t="s">
        <v>321</v>
      </c>
      <c r="C65" s="4" t="n">
        <v>13900</v>
      </c>
      <c r="D65" s="2" t="s">
        <v>322</v>
      </c>
      <c r="E65" s="5" t="s">
        <v>323</v>
      </c>
      <c r="F65" s="5" t="s">
        <v>324</v>
      </c>
      <c r="G65" s="5" t="n">
        <v>1</v>
      </c>
      <c r="H65" s="5" t="s">
        <v>16</v>
      </c>
      <c r="I65" s="5"/>
      <c r="J65" s="5" t="s">
        <v>17</v>
      </c>
      <c r="K65" s="2" t="s">
        <v>73</v>
      </c>
    </row>
    <row r="66" customFormat="false" ht="15" hidden="false" customHeight="false" outlineLevel="0" collapsed="false">
      <c r="A66" s="2" t="s">
        <v>325</v>
      </c>
      <c r="B66" s="3" t="s">
        <v>326</v>
      </c>
      <c r="C66" s="4" t="n">
        <v>13900</v>
      </c>
      <c r="D66" s="2" t="s">
        <v>322</v>
      </c>
      <c r="E66" s="5" t="s">
        <v>57</v>
      </c>
      <c r="F66" s="5" t="s">
        <v>144</v>
      </c>
      <c r="G66" s="5" t="n">
        <v>1</v>
      </c>
      <c r="H66" s="5" t="s">
        <v>16</v>
      </c>
      <c r="I66" s="5"/>
      <c r="J66" s="5" t="s">
        <v>17</v>
      </c>
      <c r="K66" s="2" t="s">
        <v>207</v>
      </c>
    </row>
    <row r="67" customFormat="false" ht="15" hidden="false" customHeight="false" outlineLevel="0" collapsed="false">
      <c r="A67" s="6" t="s">
        <v>327</v>
      </c>
      <c r="B67" s="7" t="s">
        <v>328</v>
      </c>
      <c r="C67" s="8" t="n">
        <v>13300</v>
      </c>
      <c r="D67" s="6" t="s">
        <v>329</v>
      </c>
      <c r="E67" s="9" t="s">
        <v>330</v>
      </c>
      <c r="F67" s="9" t="s">
        <v>103</v>
      </c>
      <c r="G67" s="9" t="n">
        <v>4</v>
      </c>
      <c r="H67" s="9" t="s">
        <v>29</v>
      </c>
      <c r="I67" s="9"/>
      <c r="J67" s="9" t="s">
        <v>17</v>
      </c>
      <c r="K67" s="6" t="s">
        <v>331</v>
      </c>
    </row>
    <row r="68" customFormat="false" ht="15" hidden="false" customHeight="false" outlineLevel="0" collapsed="false">
      <c r="A68" s="2" t="s">
        <v>332</v>
      </c>
      <c r="B68" s="3" t="s">
        <v>333</v>
      </c>
      <c r="C68" s="4" t="n">
        <v>11800</v>
      </c>
      <c r="D68" s="2" t="s">
        <v>334</v>
      </c>
      <c r="E68" s="5" t="s">
        <v>335</v>
      </c>
      <c r="F68" s="5" t="s">
        <v>336</v>
      </c>
      <c r="G68" s="5" t="n">
        <v>2</v>
      </c>
      <c r="H68" s="5" t="s">
        <v>35</v>
      </c>
      <c r="I68" s="5"/>
      <c r="J68" s="5" t="s">
        <v>17</v>
      </c>
      <c r="K68" s="2" t="s">
        <v>337</v>
      </c>
    </row>
    <row r="69" customFormat="false" ht="15" hidden="false" customHeight="false" outlineLevel="0" collapsed="false">
      <c r="A69" s="2" t="s">
        <v>338</v>
      </c>
      <c r="B69" s="3" t="s">
        <v>339</v>
      </c>
      <c r="C69" s="4" t="n">
        <v>10900</v>
      </c>
      <c r="D69" s="2" t="s">
        <v>340</v>
      </c>
      <c r="E69" s="5" t="s">
        <v>341</v>
      </c>
      <c r="F69" s="5" t="s">
        <v>342</v>
      </c>
      <c r="G69" s="5" t="n">
        <v>1</v>
      </c>
      <c r="H69" s="5" t="s">
        <v>16</v>
      </c>
      <c r="I69" s="5"/>
      <c r="J69" s="5" t="s">
        <v>17</v>
      </c>
      <c r="K69" s="2" t="s">
        <v>18</v>
      </c>
    </row>
    <row r="70" customFormat="false" ht="15" hidden="false" customHeight="false" outlineLevel="0" collapsed="false">
      <c r="A70" s="2" t="s">
        <v>343</v>
      </c>
      <c r="B70" s="3" t="s">
        <v>344</v>
      </c>
      <c r="C70" s="4" t="n">
        <v>9970</v>
      </c>
      <c r="D70" s="2" t="s">
        <v>345</v>
      </c>
      <c r="E70" s="5" t="s">
        <v>346</v>
      </c>
      <c r="F70" s="5" t="s">
        <v>347</v>
      </c>
      <c r="G70" s="5" t="n">
        <v>1</v>
      </c>
      <c r="H70" s="5" t="s">
        <v>16</v>
      </c>
      <c r="I70" s="5"/>
      <c r="J70" s="5" t="s">
        <v>47</v>
      </c>
      <c r="K70" s="2" t="s">
        <v>337</v>
      </c>
    </row>
    <row r="71" customFormat="false" ht="15" hidden="false" customHeight="false" outlineLevel="0" collapsed="false">
      <c r="A71" s="2" t="s">
        <v>348</v>
      </c>
      <c r="B71" s="3" t="s">
        <v>349</v>
      </c>
      <c r="C71" s="4" t="n">
        <v>9430</v>
      </c>
      <c r="D71" s="2" t="s">
        <v>350</v>
      </c>
      <c r="E71" s="5" t="s">
        <v>351</v>
      </c>
      <c r="F71" s="5" t="s">
        <v>352</v>
      </c>
      <c r="G71" s="5" t="n">
        <v>2</v>
      </c>
      <c r="H71" s="5" t="s">
        <v>35</v>
      </c>
      <c r="I71" s="5"/>
      <c r="J71" s="5" t="s">
        <v>17</v>
      </c>
      <c r="K71" s="2" t="s">
        <v>104</v>
      </c>
    </row>
    <row r="72" customFormat="false" ht="15" hidden="false" customHeight="false" outlineLevel="0" collapsed="false">
      <c r="A72" s="2" t="s">
        <v>353</v>
      </c>
      <c r="B72" s="3" t="s">
        <v>354</v>
      </c>
      <c r="C72" s="4" t="n">
        <v>8760</v>
      </c>
      <c r="D72" s="2" t="s">
        <v>355</v>
      </c>
      <c r="E72" s="5" t="s">
        <v>356</v>
      </c>
      <c r="F72" s="5" t="s">
        <v>201</v>
      </c>
      <c r="G72" s="5" t="n">
        <v>1</v>
      </c>
      <c r="H72" s="5" t="s">
        <v>16</v>
      </c>
      <c r="I72" s="5"/>
      <c r="J72" s="5" t="s">
        <v>17</v>
      </c>
      <c r="K72" s="2" t="s">
        <v>189</v>
      </c>
    </row>
    <row r="73" customFormat="false" ht="15" hidden="false" customHeight="false" outlineLevel="0" collapsed="false">
      <c r="A73" s="2" t="s">
        <v>357</v>
      </c>
      <c r="B73" s="3" t="s">
        <v>358</v>
      </c>
      <c r="C73" s="4" t="n">
        <v>7120</v>
      </c>
      <c r="D73" s="2" t="s">
        <v>359</v>
      </c>
      <c r="E73" s="5" t="s">
        <v>130</v>
      </c>
      <c r="F73" s="5" t="s">
        <v>28</v>
      </c>
      <c r="G73" s="5" t="n">
        <v>2</v>
      </c>
      <c r="H73" s="5" t="s">
        <v>35</v>
      </c>
      <c r="I73" s="5"/>
      <c r="J73" s="5" t="s">
        <v>17</v>
      </c>
      <c r="K73" s="2" t="s">
        <v>104</v>
      </c>
    </row>
    <row r="74" customFormat="false" ht="15" hidden="false" customHeight="false" outlineLevel="0" collapsed="false">
      <c r="A74" s="2" t="s">
        <v>360</v>
      </c>
      <c r="B74" s="3" t="s">
        <v>361</v>
      </c>
      <c r="C74" s="4" t="n">
        <v>6990</v>
      </c>
      <c r="D74" s="2" t="s">
        <v>362</v>
      </c>
      <c r="E74" s="5" t="s">
        <v>363</v>
      </c>
      <c r="F74" s="5" t="s">
        <v>28</v>
      </c>
      <c r="G74" s="5" t="n">
        <v>3</v>
      </c>
      <c r="H74" s="5" t="s">
        <v>35</v>
      </c>
      <c r="I74" s="5"/>
      <c r="J74" s="5" t="s">
        <v>47</v>
      </c>
      <c r="K74" s="2" t="s">
        <v>48</v>
      </c>
    </row>
    <row r="75" customFormat="false" ht="15" hidden="false" customHeight="false" outlineLevel="0" collapsed="false">
      <c r="A75" s="2" t="s">
        <v>364</v>
      </c>
      <c r="B75" s="3" t="s">
        <v>365</v>
      </c>
      <c r="C75" s="4" t="n">
        <v>6750</v>
      </c>
      <c r="D75" s="2" t="s">
        <v>366</v>
      </c>
      <c r="E75" s="5" t="s">
        <v>367</v>
      </c>
      <c r="F75" s="5" t="s">
        <v>285</v>
      </c>
      <c r="G75" s="5" t="n">
        <v>2</v>
      </c>
      <c r="H75" s="5" t="s">
        <v>35</v>
      </c>
      <c r="I75" s="5"/>
      <c r="J75" s="5" t="s">
        <v>17</v>
      </c>
      <c r="K75" s="2" t="s">
        <v>73</v>
      </c>
    </row>
    <row r="76" customFormat="false" ht="15" hidden="false" customHeight="false" outlineLevel="0" collapsed="false">
      <c r="A76" s="6" t="s">
        <v>368</v>
      </c>
      <c r="B76" s="7" t="s">
        <v>369</v>
      </c>
      <c r="C76" s="8" t="n">
        <v>5800</v>
      </c>
      <c r="D76" s="6" t="s">
        <v>370</v>
      </c>
      <c r="E76" s="9" t="s">
        <v>371</v>
      </c>
      <c r="F76" s="9" t="s">
        <v>109</v>
      </c>
      <c r="G76" s="9" t="n">
        <v>6</v>
      </c>
      <c r="H76" s="9" t="s">
        <v>29</v>
      </c>
      <c r="I76" s="10" t="s">
        <v>121</v>
      </c>
      <c r="J76" s="9" t="s">
        <v>17</v>
      </c>
      <c r="K76" s="6" t="s">
        <v>372</v>
      </c>
    </row>
    <row r="77" customFormat="false" ht="15" hidden="false" customHeight="false" outlineLevel="0" collapsed="false">
      <c r="A77" s="6" t="s">
        <v>373</v>
      </c>
      <c r="B77" s="7" t="s">
        <v>374</v>
      </c>
      <c r="C77" s="8" t="n">
        <v>4970</v>
      </c>
      <c r="D77" s="6" t="s">
        <v>375</v>
      </c>
      <c r="E77" s="9" t="s">
        <v>82</v>
      </c>
      <c r="F77" s="9" t="s">
        <v>232</v>
      </c>
      <c r="G77" s="9" t="n">
        <v>4</v>
      </c>
      <c r="H77" s="9" t="s">
        <v>29</v>
      </c>
      <c r="I77" s="9"/>
      <c r="J77" s="9" t="s">
        <v>17</v>
      </c>
      <c r="K77" s="6" t="s">
        <v>376</v>
      </c>
    </row>
    <row r="78" customFormat="false" ht="15" hidden="false" customHeight="false" outlineLevel="0" collapsed="false">
      <c r="A78" s="2" t="s">
        <v>377</v>
      </c>
      <c r="B78" s="3" t="s">
        <v>378</v>
      </c>
      <c r="C78" s="4" t="n">
        <v>4530</v>
      </c>
      <c r="D78" s="2" t="s">
        <v>379</v>
      </c>
      <c r="E78" s="5" t="s">
        <v>380</v>
      </c>
      <c r="F78" s="5" t="s">
        <v>28</v>
      </c>
      <c r="G78" s="5" t="n">
        <v>1</v>
      </c>
      <c r="H78" s="5" t="s">
        <v>16</v>
      </c>
      <c r="I78" s="5"/>
      <c r="J78" s="5" t="s">
        <v>17</v>
      </c>
      <c r="K78" s="2" t="s">
        <v>42</v>
      </c>
    </row>
    <row r="79" customFormat="false" ht="15" hidden="false" customHeight="false" outlineLevel="0" collapsed="false">
      <c r="A79" s="6" t="s">
        <v>381</v>
      </c>
      <c r="B79" s="7" t="s">
        <v>382</v>
      </c>
      <c r="C79" s="8" t="n">
        <v>4510</v>
      </c>
      <c r="D79" s="6" t="s">
        <v>379</v>
      </c>
      <c r="E79" s="9" t="s">
        <v>383</v>
      </c>
      <c r="F79" s="9" t="s">
        <v>384</v>
      </c>
      <c r="G79" s="9" t="n">
        <v>6</v>
      </c>
      <c r="H79" s="9" t="s">
        <v>29</v>
      </c>
      <c r="I79" s="9"/>
      <c r="J79" s="9" t="s">
        <v>17</v>
      </c>
      <c r="K79" s="6" t="s">
        <v>385</v>
      </c>
    </row>
    <row r="80" customFormat="false" ht="15" hidden="false" customHeight="false" outlineLevel="0" collapsed="false">
      <c r="A80" s="2" t="s">
        <v>386</v>
      </c>
      <c r="B80" s="3" t="s">
        <v>387</v>
      </c>
      <c r="C80" s="4" t="n">
        <v>3900</v>
      </c>
      <c r="D80" s="2" t="s">
        <v>388</v>
      </c>
      <c r="E80" s="5" t="s">
        <v>389</v>
      </c>
      <c r="F80" s="5" t="s">
        <v>232</v>
      </c>
      <c r="G80" s="5" t="n">
        <v>1</v>
      </c>
      <c r="H80" s="5" t="s">
        <v>16</v>
      </c>
      <c r="I80" s="5"/>
      <c r="J80" s="5" t="s">
        <v>17</v>
      </c>
      <c r="K80" s="2" t="s">
        <v>92</v>
      </c>
    </row>
    <row r="81" customFormat="false" ht="15" hidden="false" customHeight="false" outlineLevel="0" collapsed="false">
      <c r="A81" s="2" t="s">
        <v>390</v>
      </c>
      <c r="B81" s="3" t="s">
        <v>391</v>
      </c>
      <c r="C81" s="4" t="n">
        <v>3710</v>
      </c>
      <c r="D81" s="2" t="s">
        <v>392</v>
      </c>
      <c r="E81" s="5" t="s">
        <v>393</v>
      </c>
      <c r="F81" s="5" t="s">
        <v>255</v>
      </c>
      <c r="G81" s="5" t="n">
        <v>1</v>
      </c>
      <c r="H81" s="5" t="s">
        <v>16</v>
      </c>
      <c r="I81" s="5"/>
      <c r="J81" s="5" t="s">
        <v>17</v>
      </c>
      <c r="K81" s="2" t="s">
        <v>207</v>
      </c>
    </row>
    <row r="82" customFormat="false" ht="15" hidden="false" customHeight="false" outlineLevel="0" collapsed="false">
      <c r="A82" s="6" t="s">
        <v>394</v>
      </c>
      <c r="B82" s="7" t="s">
        <v>395</v>
      </c>
      <c r="C82" s="8" t="n">
        <v>3550</v>
      </c>
      <c r="D82" s="6" t="s">
        <v>396</v>
      </c>
      <c r="E82" s="9" t="s">
        <v>346</v>
      </c>
      <c r="F82" s="9" t="s">
        <v>28</v>
      </c>
      <c r="G82" s="9" t="n">
        <v>11</v>
      </c>
      <c r="H82" s="9" t="s">
        <v>29</v>
      </c>
      <c r="I82" s="9"/>
      <c r="J82" s="9" t="s">
        <v>17</v>
      </c>
      <c r="K82" s="6" t="s">
        <v>115</v>
      </c>
    </row>
    <row r="83" customFormat="false" ht="15" hidden="false" customHeight="false" outlineLevel="0" collapsed="false">
      <c r="A83" s="2" t="s">
        <v>397</v>
      </c>
      <c r="B83" s="3" t="s">
        <v>398</v>
      </c>
      <c r="C83" s="4" t="n">
        <v>3360</v>
      </c>
      <c r="D83" s="2" t="s">
        <v>399</v>
      </c>
      <c r="E83" s="5" t="s">
        <v>400</v>
      </c>
      <c r="F83" s="5" t="s">
        <v>401</v>
      </c>
      <c r="G83" s="5" t="n">
        <v>1</v>
      </c>
      <c r="H83" s="5" t="s">
        <v>16</v>
      </c>
      <c r="I83" s="5"/>
      <c r="J83" s="5" t="s">
        <v>17</v>
      </c>
      <c r="K83" s="2" t="s">
        <v>189</v>
      </c>
    </row>
    <row r="84" customFormat="false" ht="15" hidden="false" customHeight="false" outlineLevel="0" collapsed="false">
      <c r="A84" s="2" t="s">
        <v>402</v>
      </c>
      <c r="B84" s="3" t="s">
        <v>403</v>
      </c>
      <c r="C84" s="4" t="n">
        <v>3220</v>
      </c>
      <c r="D84" s="2" t="s">
        <v>404</v>
      </c>
      <c r="E84" s="5" t="s">
        <v>405</v>
      </c>
      <c r="F84" s="5" t="s">
        <v>28</v>
      </c>
      <c r="G84" s="5" t="n">
        <v>1</v>
      </c>
      <c r="H84" s="5" t="s">
        <v>16</v>
      </c>
      <c r="I84" s="5"/>
      <c r="J84" s="5" t="s">
        <v>17</v>
      </c>
      <c r="K84" s="2" t="s">
        <v>18</v>
      </c>
    </row>
    <row r="85" customFormat="false" ht="15" hidden="false" customHeight="false" outlineLevel="0" collapsed="false">
      <c r="A85" s="6" t="s">
        <v>406</v>
      </c>
      <c r="B85" s="7" t="s">
        <v>407</v>
      </c>
      <c r="C85" s="8" t="n">
        <v>3170</v>
      </c>
      <c r="D85" s="6" t="s">
        <v>404</v>
      </c>
      <c r="E85" s="9" t="s">
        <v>408</v>
      </c>
      <c r="F85" s="9" t="s">
        <v>409</v>
      </c>
      <c r="G85" s="9" t="n">
        <v>6</v>
      </c>
      <c r="H85" s="9" t="s">
        <v>29</v>
      </c>
      <c r="I85" s="9"/>
      <c r="J85" s="9" t="s">
        <v>17</v>
      </c>
      <c r="K85" s="6" t="s">
        <v>223</v>
      </c>
    </row>
    <row r="86" customFormat="false" ht="15" hidden="false" customHeight="false" outlineLevel="0" collapsed="false">
      <c r="A86" s="6" t="s">
        <v>410</v>
      </c>
      <c r="B86" s="7" t="s">
        <v>411</v>
      </c>
      <c r="C86" s="8" t="n">
        <v>2780</v>
      </c>
      <c r="D86" s="6" t="s">
        <v>412</v>
      </c>
      <c r="E86" s="9" t="s">
        <v>413</v>
      </c>
      <c r="F86" s="9" t="s">
        <v>285</v>
      </c>
      <c r="G86" s="9" t="n">
        <v>4</v>
      </c>
      <c r="H86" s="9" t="s">
        <v>29</v>
      </c>
      <c r="I86" s="9"/>
      <c r="J86" s="9" t="s">
        <v>17</v>
      </c>
      <c r="K86" s="6" t="s">
        <v>98</v>
      </c>
    </row>
    <row r="87" customFormat="false" ht="15" hidden="false" customHeight="false" outlineLevel="0" collapsed="false">
      <c r="A87" s="6" t="s">
        <v>414</v>
      </c>
      <c r="B87" s="7" t="s">
        <v>415</v>
      </c>
      <c r="C87" s="8" t="n">
        <v>2690</v>
      </c>
      <c r="D87" s="6" t="s">
        <v>416</v>
      </c>
      <c r="E87" s="9" t="s">
        <v>417</v>
      </c>
      <c r="F87" s="9" t="s">
        <v>255</v>
      </c>
      <c r="G87" s="9" t="n">
        <v>7</v>
      </c>
      <c r="H87" s="9" t="s">
        <v>29</v>
      </c>
      <c r="I87" s="9"/>
      <c r="J87" s="9" t="s">
        <v>17</v>
      </c>
      <c r="K87" s="6" t="s">
        <v>418</v>
      </c>
    </row>
    <row r="88" customFormat="false" ht="15" hidden="false" customHeight="false" outlineLevel="0" collapsed="false">
      <c r="A88" s="2" t="s">
        <v>419</v>
      </c>
      <c r="B88" s="3" t="s">
        <v>420</v>
      </c>
      <c r="C88" s="4" t="n">
        <v>2350</v>
      </c>
      <c r="D88" s="2" t="s">
        <v>421</v>
      </c>
      <c r="E88" s="5" t="s">
        <v>422</v>
      </c>
      <c r="F88" s="5" t="s">
        <v>423</v>
      </c>
      <c r="G88" s="5" t="n">
        <v>1</v>
      </c>
      <c r="H88" s="5" t="s">
        <v>16</v>
      </c>
      <c r="I88" s="5"/>
      <c r="J88" s="5" t="s">
        <v>17</v>
      </c>
      <c r="K88" s="2" t="s">
        <v>207</v>
      </c>
    </row>
    <row r="89" customFormat="false" ht="15" hidden="false" customHeight="false" outlineLevel="0" collapsed="false">
      <c r="A89" s="2" t="s">
        <v>424</v>
      </c>
      <c r="B89" s="3" t="s">
        <v>425</v>
      </c>
      <c r="C89" s="4" t="n">
        <v>2030</v>
      </c>
      <c r="D89" s="2" t="s">
        <v>426</v>
      </c>
      <c r="E89" s="5" t="s">
        <v>427</v>
      </c>
      <c r="F89" s="5" t="s">
        <v>83</v>
      </c>
      <c r="G89" s="5" t="n">
        <v>1</v>
      </c>
      <c r="H89" s="5" t="s">
        <v>16</v>
      </c>
      <c r="I89" s="5"/>
      <c r="J89" s="5" t="s">
        <v>17</v>
      </c>
      <c r="K89" s="2" t="s">
        <v>92</v>
      </c>
    </row>
    <row r="90" customFormat="false" ht="15" hidden="false" customHeight="false" outlineLevel="0" collapsed="false">
      <c r="A90" s="2" t="s">
        <v>428</v>
      </c>
      <c r="B90" s="3" t="s">
        <v>429</v>
      </c>
      <c r="C90" s="4" t="n">
        <v>1960</v>
      </c>
      <c r="D90" s="2" t="s">
        <v>426</v>
      </c>
      <c r="E90" s="5" t="s">
        <v>430</v>
      </c>
      <c r="F90" s="5" t="s">
        <v>158</v>
      </c>
      <c r="G90" s="5" t="n">
        <v>1</v>
      </c>
      <c r="H90" s="5" t="s">
        <v>16</v>
      </c>
      <c r="I90" s="5"/>
      <c r="J90" s="5" t="s">
        <v>17</v>
      </c>
      <c r="K90" s="2" t="s">
        <v>92</v>
      </c>
    </row>
    <row r="91" customFormat="false" ht="15" hidden="false" customHeight="false" outlineLevel="0" collapsed="false">
      <c r="A91" s="2" t="s">
        <v>431</v>
      </c>
      <c r="B91" s="3" t="s">
        <v>432</v>
      </c>
      <c r="C91" s="4" t="n">
        <v>1800</v>
      </c>
      <c r="D91" s="2" t="s">
        <v>433</v>
      </c>
      <c r="E91" s="5" t="s">
        <v>434</v>
      </c>
      <c r="F91" s="5" t="s">
        <v>63</v>
      </c>
      <c r="G91" s="5" t="n">
        <v>1</v>
      </c>
      <c r="H91" s="5" t="s">
        <v>16</v>
      </c>
      <c r="I91" s="5"/>
      <c r="J91" s="5" t="s">
        <v>47</v>
      </c>
      <c r="K91" s="2" t="s">
        <v>53</v>
      </c>
    </row>
    <row r="92" customFormat="false" ht="15" hidden="false" customHeight="false" outlineLevel="0" collapsed="false">
      <c r="A92" s="2" t="s">
        <v>435</v>
      </c>
      <c r="B92" s="3" t="s">
        <v>436</v>
      </c>
      <c r="C92" s="4" t="n">
        <v>1510</v>
      </c>
      <c r="D92" s="2" t="s">
        <v>437</v>
      </c>
      <c r="E92" s="5" t="s">
        <v>438</v>
      </c>
      <c r="F92" s="5" t="s">
        <v>439</v>
      </c>
      <c r="G92" s="5" t="n">
        <v>1</v>
      </c>
      <c r="H92" s="5" t="s">
        <v>16</v>
      </c>
      <c r="I92" s="5"/>
      <c r="J92" s="5" t="s">
        <v>17</v>
      </c>
      <c r="K92" s="2" t="s">
        <v>207</v>
      </c>
    </row>
    <row r="93" customFormat="false" ht="15" hidden="false" customHeight="false" outlineLevel="0" collapsed="false">
      <c r="A93" s="2" t="s">
        <v>440</v>
      </c>
      <c r="B93" s="3" t="s">
        <v>441</v>
      </c>
      <c r="C93" s="4" t="n">
        <v>1490</v>
      </c>
      <c r="D93" s="2" t="s">
        <v>437</v>
      </c>
      <c r="E93" s="5" t="s">
        <v>442</v>
      </c>
      <c r="F93" s="5" t="s">
        <v>58</v>
      </c>
      <c r="G93" s="5" t="n">
        <v>3</v>
      </c>
      <c r="H93" s="5" t="s">
        <v>35</v>
      </c>
      <c r="I93" s="10" t="s">
        <v>121</v>
      </c>
      <c r="J93" s="5" t="s">
        <v>47</v>
      </c>
      <c r="K93" s="2" t="s">
        <v>443</v>
      </c>
    </row>
    <row r="94" customFormat="false" ht="15" hidden="false" customHeight="false" outlineLevel="0" collapsed="false">
      <c r="A94" s="2" t="s">
        <v>444</v>
      </c>
      <c r="B94" s="3" t="s">
        <v>445</v>
      </c>
      <c r="C94" s="4" t="n">
        <v>1430</v>
      </c>
      <c r="D94" s="2" t="s">
        <v>446</v>
      </c>
      <c r="E94" s="5" t="s">
        <v>447</v>
      </c>
      <c r="F94" s="5" t="s">
        <v>255</v>
      </c>
      <c r="G94" s="5" t="n">
        <v>2</v>
      </c>
      <c r="H94" s="5" t="s">
        <v>35</v>
      </c>
      <c r="I94" s="5"/>
      <c r="J94" s="5" t="s">
        <v>17</v>
      </c>
      <c r="K94" s="2" t="s">
        <v>178</v>
      </c>
    </row>
    <row r="95" customFormat="false" ht="15" hidden="false" customHeight="false" outlineLevel="0" collapsed="false">
      <c r="A95" s="11" t="s">
        <v>448</v>
      </c>
      <c r="B95" s="12" t="s">
        <v>449</v>
      </c>
      <c r="C95" s="13" t="n">
        <v>1300</v>
      </c>
      <c r="D95" s="11" t="s">
        <v>450</v>
      </c>
      <c r="E95" s="14" t="s">
        <v>451</v>
      </c>
      <c r="F95" s="14" t="s">
        <v>285</v>
      </c>
      <c r="G95" s="14" t="n">
        <v>11</v>
      </c>
      <c r="H95" s="14" t="s">
        <v>121</v>
      </c>
      <c r="I95" s="14"/>
      <c r="J95" s="14" t="s">
        <v>17</v>
      </c>
      <c r="K95" s="11" t="s">
        <v>452</v>
      </c>
    </row>
    <row r="96" customFormat="false" ht="15" hidden="false" customHeight="false" outlineLevel="0" collapsed="false">
      <c r="A96" s="2" t="s">
        <v>453</v>
      </c>
      <c r="B96" s="3" t="s">
        <v>454</v>
      </c>
      <c r="C96" s="4" t="n">
        <v>1120</v>
      </c>
      <c r="D96" s="2" t="s">
        <v>455</v>
      </c>
      <c r="E96" s="5" t="s">
        <v>456</v>
      </c>
      <c r="F96" s="5" t="s">
        <v>457</v>
      </c>
      <c r="G96" s="5" t="n">
        <v>1</v>
      </c>
      <c r="H96" s="5" t="s">
        <v>16</v>
      </c>
      <c r="I96" s="5"/>
      <c r="J96" s="5" t="s">
        <v>47</v>
      </c>
      <c r="K96" s="2" t="s">
        <v>53</v>
      </c>
    </row>
    <row r="97" customFormat="false" ht="15" hidden="false" customHeight="false" outlineLevel="0" collapsed="false">
      <c r="A97" s="6" t="s">
        <v>458</v>
      </c>
      <c r="B97" s="7" t="s">
        <v>459</v>
      </c>
      <c r="C97" s="8" t="n">
        <v>968</v>
      </c>
      <c r="D97" s="6" t="s">
        <v>460</v>
      </c>
      <c r="E97" s="9" t="s">
        <v>461</v>
      </c>
      <c r="F97" s="9" t="s">
        <v>439</v>
      </c>
      <c r="G97" s="9" t="n">
        <v>4</v>
      </c>
      <c r="H97" s="9" t="s">
        <v>29</v>
      </c>
      <c r="I97" s="9"/>
      <c r="J97" s="9" t="s">
        <v>17</v>
      </c>
      <c r="K97" s="6" t="s">
        <v>73</v>
      </c>
    </row>
    <row r="98" customFormat="false" ht="15" hidden="false" customHeight="false" outlineLevel="0" collapsed="false">
      <c r="A98" s="11" t="s">
        <v>462</v>
      </c>
      <c r="B98" s="12" t="s">
        <v>463</v>
      </c>
      <c r="C98" s="13" t="n">
        <v>940</v>
      </c>
      <c r="D98" s="11" t="s">
        <v>464</v>
      </c>
      <c r="E98" s="14" t="s">
        <v>465</v>
      </c>
      <c r="F98" s="14" t="s">
        <v>409</v>
      </c>
      <c r="G98" s="14" t="n">
        <v>4</v>
      </c>
      <c r="H98" s="14" t="s">
        <v>121</v>
      </c>
      <c r="I98" s="14"/>
      <c r="J98" s="14" t="s">
        <v>47</v>
      </c>
      <c r="K98" s="11" t="s">
        <v>48</v>
      </c>
    </row>
    <row r="99" customFormat="false" ht="15" hidden="false" customHeight="false" outlineLevel="0" collapsed="false">
      <c r="A99" s="2" t="s">
        <v>466</v>
      </c>
      <c r="B99" s="3" t="s">
        <v>467</v>
      </c>
      <c r="C99" s="4" t="n">
        <v>882</v>
      </c>
      <c r="D99" s="2" t="s">
        <v>468</v>
      </c>
      <c r="E99" s="5" t="s">
        <v>163</v>
      </c>
      <c r="F99" s="5" t="s">
        <v>91</v>
      </c>
      <c r="G99" s="5" t="n">
        <v>1</v>
      </c>
      <c r="H99" s="5" t="s">
        <v>16</v>
      </c>
      <c r="I99" s="5"/>
      <c r="J99" s="5" t="s">
        <v>17</v>
      </c>
      <c r="K99" s="2" t="s">
        <v>73</v>
      </c>
    </row>
    <row r="100" customFormat="false" ht="15" hidden="false" customHeight="false" outlineLevel="0" collapsed="false">
      <c r="A100" s="6" t="s">
        <v>469</v>
      </c>
      <c r="B100" s="7" t="s">
        <v>470</v>
      </c>
      <c r="C100" s="8" t="n">
        <v>630</v>
      </c>
      <c r="D100" s="6" t="s">
        <v>471</v>
      </c>
      <c r="E100" s="9" t="s">
        <v>472</v>
      </c>
      <c r="F100" s="9" t="s">
        <v>232</v>
      </c>
      <c r="G100" s="9" t="n">
        <v>4</v>
      </c>
      <c r="H100" s="9" t="s">
        <v>29</v>
      </c>
      <c r="I100" s="9"/>
      <c r="J100" s="9" t="s">
        <v>17</v>
      </c>
      <c r="K100" s="6" t="s">
        <v>303</v>
      </c>
    </row>
    <row r="101" customFormat="false" ht="15" hidden="false" customHeight="false" outlineLevel="0" collapsed="false">
      <c r="A101" s="2" t="s">
        <v>473</v>
      </c>
      <c r="B101" s="3" t="s">
        <v>474</v>
      </c>
      <c r="C101" s="4" t="n">
        <v>618</v>
      </c>
      <c r="D101" s="2" t="s">
        <v>475</v>
      </c>
      <c r="E101" s="5" t="s">
        <v>476</v>
      </c>
      <c r="F101" s="5" t="s">
        <v>28</v>
      </c>
      <c r="G101" s="5" t="n">
        <v>2</v>
      </c>
      <c r="H101" s="5" t="s">
        <v>35</v>
      </c>
      <c r="I101" s="5"/>
      <c r="J101" s="5" t="s">
        <v>17</v>
      </c>
      <c r="K101" s="2" t="s">
        <v>443</v>
      </c>
    </row>
    <row r="102" customFormat="false" ht="15" hidden="false" customHeight="false" outlineLevel="0" collapsed="false">
      <c r="A102" s="2" t="s">
        <v>477</v>
      </c>
      <c r="B102" s="3" t="s">
        <v>478</v>
      </c>
      <c r="C102" s="4" t="n">
        <v>587</v>
      </c>
      <c r="D102" s="2" t="s">
        <v>479</v>
      </c>
      <c r="E102" s="5" t="s">
        <v>480</v>
      </c>
      <c r="F102" s="5" t="s">
        <v>336</v>
      </c>
      <c r="G102" s="5" t="n">
        <v>1</v>
      </c>
      <c r="H102" s="5" t="s">
        <v>16</v>
      </c>
      <c r="I102" s="5"/>
      <c r="J102" s="5" t="s">
        <v>17</v>
      </c>
      <c r="K102" s="2" t="s">
        <v>73</v>
      </c>
    </row>
    <row r="103" customFormat="false" ht="15" hidden="false" customHeight="false" outlineLevel="0" collapsed="false">
      <c r="A103" s="11" t="s">
        <v>481</v>
      </c>
      <c r="B103" s="12" t="s">
        <v>482</v>
      </c>
      <c r="C103" s="13" t="n">
        <v>489</v>
      </c>
      <c r="D103" s="11" t="s">
        <v>483</v>
      </c>
      <c r="E103" s="14" t="s">
        <v>346</v>
      </c>
      <c r="F103" s="14" t="s">
        <v>285</v>
      </c>
      <c r="G103" s="14" t="n">
        <v>1</v>
      </c>
      <c r="H103" s="14" t="s">
        <v>121</v>
      </c>
      <c r="I103" s="14"/>
      <c r="J103" s="14" t="s">
        <v>17</v>
      </c>
      <c r="K103" s="11" t="s">
        <v>207</v>
      </c>
    </row>
    <row r="104" customFormat="false" ht="15" hidden="false" customHeight="false" outlineLevel="0" collapsed="false">
      <c r="A104" s="2" t="s">
        <v>484</v>
      </c>
      <c r="B104" s="3" t="s">
        <v>485</v>
      </c>
      <c r="C104" s="4" t="n">
        <v>436</v>
      </c>
      <c r="D104" s="2" t="s">
        <v>486</v>
      </c>
      <c r="E104" s="5" t="s">
        <v>487</v>
      </c>
      <c r="F104" s="5" t="s">
        <v>488</v>
      </c>
      <c r="G104" s="5" t="n">
        <v>3</v>
      </c>
      <c r="H104" s="5" t="s">
        <v>35</v>
      </c>
      <c r="I104" s="5"/>
      <c r="J104" s="5" t="s">
        <v>17</v>
      </c>
      <c r="K104" s="2" t="s">
        <v>418</v>
      </c>
    </row>
    <row r="105" customFormat="false" ht="15" hidden="false" customHeight="false" outlineLevel="0" collapsed="false">
      <c r="A105" s="2" t="s">
        <v>489</v>
      </c>
      <c r="B105" s="3" t="s">
        <v>490</v>
      </c>
      <c r="C105" s="4" t="n">
        <v>378</v>
      </c>
      <c r="D105" s="2" t="s">
        <v>491</v>
      </c>
      <c r="E105" s="5" t="s">
        <v>492</v>
      </c>
      <c r="F105" s="5" t="s">
        <v>201</v>
      </c>
      <c r="G105" s="5" t="n">
        <v>2</v>
      </c>
      <c r="H105" s="5" t="s">
        <v>35</v>
      </c>
      <c r="I105" s="5"/>
      <c r="J105" s="5" t="s">
        <v>17</v>
      </c>
      <c r="K105" s="2" t="s">
        <v>104</v>
      </c>
    </row>
    <row r="106" customFormat="false" ht="15" hidden="false" customHeight="false" outlineLevel="0" collapsed="false">
      <c r="A106" s="6" t="s">
        <v>493</v>
      </c>
      <c r="B106" s="7" t="s">
        <v>494</v>
      </c>
      <c r="C106" s="8" t="n">
        <v>364</v>
      </c>
      <c r="D106" s="6" t="s">
        <v>495</v>
      </c>
      <c r="E106" s="9" t="s">
        <v>461</v>
      </c>
      <c r="F106" s="9" t="s">
        <v>496</v>
      </c>
      <c r="G106" s="9" t="n">
        <v>5</v>
      </c>
      <c r="H106" s="9" t="s">
        <v>29</v>
      </c>
      <c r="I106" s="9"/>
      <c r="J106" s="9" t="s">
        <v>17</v>
      </c>
      <c r="K106" s="6" t="s">
        <v>115</v>
      </c>
    </row>
    <row r="107" customFormat="false" ht="15" hidden="false" customHeight="false" outlineLevel="0" collapsed="false">
      <c r="A107" s="11" t="s">
        <v>497</v>
      </c>
      <c r="B107" s="12" t="s">
        <v>498</v>
      </c>
      <c r="C107" s="13" t="n">
        <v>345</v>
      </c>
      <c r="D107" s="11" t="s">
        <v>499</v>
      </c>
      <c r="E107" s="14" t="s">
        <v>500</v>
      </c>
      <c r="F107" s="14" t="s">
        <v>501</v>
      </c>
      <c r="G107" s="14" t="n">
        <v>1</v>
      </c>
      <c r="H107" s="14" t="s">
        <v>121</v>
      </c>
      <c r="I107" s="14"/>
      <c r="J107" s="14" t="s">
        <v>17</v>
      </c>
      <c r="K107" s="11" t="s">
        <v>42</v>
      </c>
    </row>
    <row r="108" customFormat="false" ht="15" hidden="false" customHeight="false" outlineLevel="0" collapsed="false">
      <c r="A108" s="2" t="s">
        <v>502</v>
      </c>
      <c r="B108" s="3" t="s">
        <v>503</v>
      </c>
      <c r="C108" s="4" t="n">
        <v>322</v>
      </c>
      <c r="D108" s="2" t="s">
        <v>504</v>
      </c>
      <c r="E108" s="5" t="s">
        <v>289</v>
      </c>
      <c r="F108" s="5" t="s">
        <v>285</v>
      </c>
      <c r="G108" s="5" t="n">
        <v>1</v>
      </c>
      <c r="H108" s="5" t="s">
        <v>16</v>
      </c>
      <c r="I108" s="5"/>
      <c r="J108" s="5" t="s">
        <v>17</v>
      </c>
      <c r="K108" s="2" t="s">
        <v>92</v>
      </c>
    </row>
    <row r="109" customFormat="false" ht="15" hidden="false" customHeight="false" outlineLevel="0" collapsed="false">
      <c r="A109" s="2" t="s">
        <v>505</v>
      </c>
      <c r="B109" s="3" t="s">
        <v>506</v>
      </c>
      <c r="C109" s="4" t="n">
        <v>275</v>
      </c>
      <c r="D109" s="2" t="s">
        <v>507</v>
      </c>
      <c r="E109" s="5" t="s">
        <v>508</v>
      </c>
      <c r="F109" s="5" t="s">
        <v>83</v>
      </c>
      <c r="G109" s="5" t="n">
        <v>1</v>
      </c>
      <c r="H109" s="5" t="s">
        <v>16</v>
      </c>
      <c r="I109" s="5"/>
      <c r="J109" s="5" t="s">
        <v>17</v>
      </c>
      <c r="K109" s="2" t="s">
        <v>73</v>
      </c>
    </row>
    <row r="110" customFormat="false" ht="15" hidden="false" customHeight="false" outlineLevel="0" collapsed="false">
      <c r="A110" s="2" t="s">
        <v>509</v>
      </c>
      <c r="B110" s="3" t="s">
        <v>510</v>
      </c>
      <c r="C110" s="4" t="n">
        <v>265</v>
      </c>
      <c r="D110" s="2" t="s">
        <v>511</v>
      </c>
      <c r="E110" s="5" t="s">
        <v>512</v>
      </c>
      <c r="F110" s="5" t="s">
        <v>513</v>
      </c>
      <c r="G110" s="5" t="n">
        <v>1</v>
      </c>
      <c r="H110" s="5" t="s">
        <v>16</v>
      </c>
      <c r="I110" s="5"/>
      <c r="J110" s="5" t="s">
        <v>17</v>
      </c>
      <c r="K110" s="2" t="s">
        <v>73</v>
      </c>
    </row>
    <row r="111" customFormat="false" ht="15" hidden="false" customHeight="false" outlineLevel="0" collapsed="false">
      <c r="A111" s="2" t="s">
        <v>514</v>
      </c>
      <c r="B111" s="3" t="s">
        <v>515</v>
      </c>
      <c r="C111" s="4" t="n">
        <v>233</v>
      </c>
      <c r="D111" s="2" t="s">
        <v>516</v>
      </c>
      <c r="E111" s="5" t="s">
        <v>517</v>
      </c>
      <c r="F111" s="5" t="s">
        <v>409</v>
      </c>
      <c r="G111" s="5" t="n">
        <v>1</v>
      </c>
      <c r="H111" s="5" t="s">
        <v>16</v>
      </c>
      <c r="I111" s="5"/>
      <c r="J111" s="5" t="s">
        <v>17</v>
      </c>
      <c r="K111" s="2" t="s">
        <v>92</v>
      </c>
    </row>
    <row r="112" customFormat="false" ht="15" hidden="false" customHeight="false" outlineLevel="0" collapsed="false">
      <c r="A112" s="11" t="s">
        <v>518</v>
      </c>
      <c r="B112" s="12" t="s">
        <v>519</v>
      </c>
      <c r="C112" s="13" t="n">
        <v>197</v>
      </c>
      <c r="D112" s="11" t="s">
        <v>520</v>
      </c>
      <c r="E112" s="14" t="s">
        <v>521</v>
      </c>
      <c r="F112" s="14" t="s">
        <v>28</v>
      </c>
      <c r="G112" s="14" t="n">
        <v>3</v>
      </c>
      <c r="H112" s="14" t="s">
        <v>121</v>
      </c>
      <c r="I112" s="14"/>
      <c r="J112" s="14" t="s">
        <v>47</v>
      </c>
      <c r="K112" s="11" t="s">
        <v>48</v>
      </c>
    </row>
    <row r="113" customFormat="false" ht="15" hidden="false" customHeight="false" outlineLevel="0" collapsed="false">
      <c r="A113" s="2" t="s">
        <v>522</v>
      </c>
      <c r="B113" s="3" t="s">
        <v>523</v>
      </c>
      <c r="C113" s="4" t="n">
        <v>133</v>
      </c>
      <c r="D113" s="2" t="s">
        <v>524</v>
      </c>
      <c r="E113" s="5" t="s">
        <v>525</v>
      </c>
      <c r="F113" s="5" t="s">
        <v>526</v>
      </c>
      <c r="G113" s="5" t="n">
        <v>2</v>
      </c>
      <c r="H113" s="5" t="s">
        <v>35</v>
      </c>
      <c r="I113" s="5"/>
      <c r="J113" s="5" t="s">
        <v>17</v>
      </c>
      <c r="K113" s="2" t="s">
        <v>527</v>
      </c>
    </row>
    <row r="114" customFormat="false" ht="15" hidden="false" customHeight="false" outlineLevel="0" collapsed="false">
      <c r="A114" s="2" t="s">
        <v>528</v>
      </c>
      <c r="B114" s="3" t="s">
        <v>529</v>
      </c>
      <c r="C114" s="4" t="n">
        <v>104</v>
      </c>
      <c r="D114" s="2" t="s">
        <v>530</v>
      </c>
      <c r="E114" s="5" t="s">
        <v>531</v>
      </c>
      <c r="F114" s="5" t="s">
        <v>439</v>
      </c>
      <c r="G114" s="5" t="n">
        <v>1</v>
      </c>
      <c r="H114" s="5" t="s">
        <v>16</v>
      </c>
      <c r="I114" s="5"/>
      <c r="J114" s="5" t="s">
        <v>17</v>
      </c>
      <c r="K114" s="2" t="s">
        <v>207</v>
      </c>
    </row>
    <row r="115" customFormat="false" ht="15" hidden="false" customHeight="false" outlineLevel="0" collapsed="false">
      <c r="A115" s="11" t="s">
        <v>532</v>
      </c>
      <c r="B115" s="12" t="s">
        <v>533</v>
      </c>
      <c r="C115" s="13" t="n">
        <v>101</v>
      </c>
      <c r="D115" s="11" t="s">
        <v>534</v>
      </c>
      <c r="E115" s="14" t="s">
        <v>535</v>
      </c>
      <c r="F115" s="14" t="s">
        <v>439</v>
      </c>
      <c r="G115" s="14" t="n">
        <v>1</v>
      </c>
      <c r="H115" s="14" t="s">
        <v>121</v>
      </c>
      <c r="I115" s="14"/>
      <c r="J115" s="14" t="s">
        <v>47</v>
      </c>
      <c r="K115" s="11" t="s">
        <v>337</v>
      </c>
    </row>
    <row r="116" customFormat="false" ht="15" hidden="false" customHeight="false" outlineLevel="0" collapsed="false">
      <c r="A116" s="2" t="s">
        <v>536</v>
      </c>
      <c r="B116" s="3" t="s">
        <v>537</v>
      </c>
      <c r="C116" s="4" t="n">
        <v>95</v>
      </c>
      <c r="D116" s="2" t="s">
        <v>538</v>
      </c>
      <c r="E116" s="5" t="s">
        <v>539</v>
      </c>
      <c r="F116" s="5" t="s">
        <v>28</v>
      </c>
      <c r="G116" s="5" t="n">
        <v>2</v>
      </c>
      <c r="H116" s="5" t="s">
        <v>35</v>
      </c>
      <c r="I116" s="5"/>
      <c r="J116" s="5" t="s">
        <v>17</v>
      </c>
      <c r="K116" s="2" t="s">
        <v>223</v>
      </c>
    </row>
    <row r="117" customFormat="false" ht="15" hidden="false" customHeight="false" outlineLevel="0" collapsed="false">
      <c r="A117" s="2" t="s">
        <v>540</v>
      </c>
      <c r="B117" s="3" t="s">
        <v>541</v>
      </c>
      <c r="C117" s="4" t="n">
        <v>92</v>
      </c>
      <c r="D117" s="2" t="s">
        <v>542</v>
      </c>
      <c r="E117" s="5" t="s">
        <v>543</v>
      </c>
      <c r="F117" s="5" t="s">
        <v>324</v>
      </c>
      <c r="G117" s="5" t="n">
        <v>1</v>
      </c>
      <c r="H117" s="5" t="s">
        <v>16</v>
      </c>
      <c r="I117" s="5"/>
      <c r="J117" s="5" t="s">
        <v>17</v>
      </c>
      <c r="K117" s="2" t="s">
        <v>73</v>
      </c>
    </row>
    <row r="118" customFormat="false" ht="15" hidden="false" customHeight="false" outlineLevel="0" collapsed="false">
      <c r="A118" s="2" t="s">
        <v>544</v>
      </c>
      <c r="B118" s="3" t="s">
        <v>545</v>
      </c>
      <c r="C118" s="4" t="n">
        <v>52</v>
      </c>
      <c r="D118" s="2" t="s">
        <v>546</v>
      </c>
      <c r="E118" s="5" t="s">
        <v>547</v>
      </c>
      <c r="F118" s="5" t="s">
        <v>255</v>
      </c>
      <c r="G118" s="5" t="n">
        <v>1</v>
      </c>
      <c r="H118" s="5" t="s">
        <v>16</v>
      </c>
      <c r="I118" s="5"/>
      <c r="J118" s="5" t="s">
        <v>17</v>
      </c>
      <c r="K118" s="2" t="s">
        <v>18</v>
      </c>
    </row>
    <row r="119" customFormat="false" ht="15" hidden="false" customHeight="false" outlineLevel="0" collapsed="false">
      <c r="A119" s="11" t="s">
        <v>548</v>
      </c>
      <c r="B119" s="12" t="s">
        <v>549</v>
      </c>
      <c r="C119" s="13" t="n">
        <v>13</v>
      </c>
      <c r="D119" s="11" t="s">
        <v>550</v>
      </c>
      <c r="E119" s="14" t="s">
        <v>551</v>
      </c>
      <c r="F119" s="14" t="s">
        <v>439</v>
      </c>
      <c r="G119" s="14" t="n">
        <v>1</v>
      </c>
      <c r="H119" s="14" t="s">
        <v>121</v>
      </c>
      <c r="I119" s="14"/>
      <c r="J119" s="14" t="s">
        <v>47</v>
      </c>
      <c r="K119" s="11" t="s">
        <v>337</v>
      </c>
    </row>
    <row r="120" customFormat="false" ht="15" hidden="false" customHeight="false" outlineLevel="0" collapsed="false">
      <c r="A120" s="2" t="s">
        <v>552</v>
      </c>
      <c r="B120" s="3" t="s">
        <v>553</v>
      </c>
      <c r="C120" s="4"/>
      <c r="D120" s="2" t="s">
        <v>28</v>
      </c>
      <c r="E120" s="5" t="s">
        <v>28</v>
      </c>
      <c r="F120" s="5" t="s">
        <v>28</v>
      </c>
      <c r="G120" s="5" t="n">
        <v>1</v>
      </c>
      <c r="H120" s="5" t="s">
        <v>16</v>
      </c>
      <c r="I120" s="5"/>
      <c r="J120" s="5" t="s">
        <v>17</v>
      </c>
      <c r="K120" s="2" t="s">
        <v>73</v>
      </c>
    </row>
    <row r="121" customFormat="false" ht="15" hidden="false" customHeight="false" outlineLevel="0" collapsed="false">
      <c r="A121" s="2" t="s">
        <v>554</v>
      </c>
      <c r="B121" s="3" t="s">
        <v>555</v>
      </c>
      <c r="C121" s="4"/>
      <c r="D121" s="2" t="s">
        <v>28</v>
      </c>
      <c r="E121" s="5" t="s">
        <v>28</v>
      </c>
      <c r="F121" s="5" t="s">
        <v>28</v>
      </c>
      <c r="G121" s="5" t="n">
        <v>1</v>
      </c>
      <c r="H121" s="5" t="s">
        <v>16</v>
      </c>
      <c r="I121" s="5"/>
      <c r="J121" s="5" t="s">
        <v>17</v>
      </c>
      <c r="K121" s="2" t="s">
        <v>42</v>
      </c>
    </row>
  </sheetData>
  <autoFilter ref="A1:K121"/>
  <hyperlinks>
    <hyperlink ref="B2" r:id="rId1" display="https://www.youtube.com/@IGN"/>
    <hyperlink ref="B3" r:id="rId2" display="https://www.youtube.com/@adultswim"/>
    <hyperlink ref="B4" r:id="rId3" display="https://www.youtube.com/@pokemon"/>
    <hyperlink ref="B5" r:id="rId4" display="https://www.youtube.com/@gamespot"/>
    <hyperlink ref="B6" r:id="rId5" display="https://www.youtube.com/@ProsafiaGaming"/>
    <hyperlink ref="B7" r:id="rId6" display="https://www.youtube.com/@PokemonCoJp"/>
    <hyperlink ref="B8" r:id="rId7" display="https://www.youtube.com/@NintendoJP"/>
    <hyperlink ref="B9" r:id="rId8" display="https://www.youtube.com/@MandJTV"/>
    <hyperlink ref="B10" r:id="rId9" display="https://www.youtube.com/@TitansVolleyball"/>
    <hyperlink ref="B11" r:id="rId10" display="https://www.youtube.com/@bandainamcoentertainment"/>
    <hyperlink ref="B12" r:id="rId11" display="https://www.youtube.com/@AsmongoldClips"/>
    <hyperlink ref="B13" r:id="rId12" display="https://www.youtube.com/@GamingBolt"/>
    <hyperlink ref="B14" r:id="rId13" display="https://www.youtube.com/@LeftBurst"/>
    <hyperlink ref="B15" r:id="rId14" display="https://www.youtube.com/@Ndy"/>
    <hyperlink ref="B16" r:id="rId15" display="https://www.youtube.com/@nintendolife"/>
    <hyperlink ref="B17" r:id="rId16" display="https://www.youtube.com/@PedroAraujoStudio"/>
    <hyperlink ref="B18" r:id="rId17" display="https://www.youtube.com/@Cwitchy"/>
    <hyperlink ref="B19" r:id="rId18" display="https://www.youtube.com/@shofu"/>
    <hyperlink ref="B20" r:id="rId19" display="https://www.youtube.com/@Zwigg0"/>
    <hyperlink ref="B21" r:id="rId20" display="https://www.youtube.com/@KYOUPOKE"/>
    <hyperlink ref="B22" r:id="rId21" display="https://www.youtube.com/@NintendoUK"/>
    <hyperlink ref="B23" r:id="rId22" display="https://www.youtube.com/@hidden_machine"/>
    <hyperlink ref="B24" r:id="rId23" display="https://www.youtube.com/@FalseSwipeGaming"/>
    <hyperlink ref="B25" r:id="rId24" display="https://www.youtube.com/@funnyhoohooman"/>
    <hyperlink ref="B26" r:id="rId25" display="https://www.youtube.com/@MrBrauza"/>
    <hyperlink ref="B27" r:id="rId26" display="https://www.youtube.com/@Akshonmedia"/>
    <hyperlink ref="B28" r:id="rId27" display="https://www.youtube.com/@GreyFang"/>
    <hyperlink ref="B29" r:id="rId28" display="https://www.youtube.com/@viz"/>
    <hyperlink ref="B30" r:id="rId29" display="https://www.youtube.com/channel/UCyDQKOgEjuIiuPXctcuQKlg"/>
    <hyperlink ref="B31" r:id="rId30" display="https://www.youtube.com/@OlexaYT"/>
    <hyperlink ref="B32" r:id="rId31" display="https://www.youtube.com/@AldiMods"/>
    <hyperlink ref="B33" r:id="rId32" display="https://www.youtube.com/@Mash9000"/>
    <hyperlink ref="B34" r:id="rId33" display="https://www.youtube.com/@frapollo94"/>
    <hyperlink ref="B35" r:id="rId34" display="https://www.youtube.com/channel/UCTK4l10G77oDhOjIaxS3vcQ"/>
    <hyperlink ref="B36" r:id="rId35" display="https://www.youtube.com/@UnderdogsGaming"/>
    <hyperlink ref="B37" r:id="rId36" display="https://www.youtube.com/@%E3%83%9F%E3%82%BF"/>
    <hyperlink ref="B38" r:id="rId37" display="https://www.youtube.com/@NSSweat"/>
    <hyperlink ref="B39" r:id="rId38" display="https://www.youtube.com/@PandaGlobal"/>
    <hyperlink ref="B40" r:id="rId39" display="https://www.youtube.com/@jimothycool"/>
    <hyperlink ref="B41" r:id="rId40" display="https://www.youtube.com/@GameBurst"/>
    <hyperlink ref="B42" r:id="rId41" display="https://www.youtube.com/@FinnTran"/>
    <hyperlink ref="B43" r:id="rId42" display="https://www.youtube.com/@StrawHatMidas"/>
    <hyperlink ref="B44" r:id="rId43" display="https://www.youtube.com/@KRGaming123"/>
    <hyperlink ref="B45" r:id="rId44" display="https://www.youtube.com/@Joereo"/>
    <hyperlink ref="B46" r:id="rId45" display="https://www.youtube.com/@buffgigas"/>
    <hyperlink ref="B47" r:id="rId46" display="https://www.youtube.com/channel/UCdOEmZem1Bn_V84wBiFWN6g"/>
    <hyperlink ref="B48" r:id="rId47" display="https://www.youtube.com/@BeakBrush"/>
    <hyperlink ref="B49" r:id="rId48" display="https://www.youtube.com/@PapaLobster"/>
    <hyperlink ref="B50" r:id="rId49" display="https://www.youtube.com/@DeWarioFreak"/>
    <hyperlink ref="B51" r:id="rId50" display="https://www.youtube.com/@Rukariia"/>
    <hyperlink ref="B52" r:id="rId51" display="https://www.youtube.com/@level-up"/>
    <hyperlink ref="B53" r:id="rId52" display="https://www.youtube.com/@ProfessorRex"/>
    <hyperlink ref="B54" r:id="rId53" display="https://www.youtube.com/@MegaResimu"/>
    <hyperlink ref="B55" r:id="rId54" display="https://www.youtube.com/@JoeKingOverwatch"/>
    <hyperlink ref="B56" r:id="rId55" display="https://www.youtube.com/@HurtboxTV"/>
    <hyperlink ref="B57" r:id="rId56" display="https://www.youtube.com/@Colby2D"/>
    <hyperlink ref="B58" r:id="rId57" display="https://www.youtube.com/@Toedslame"/>
    <hyperlink ref="B59" r:id="rId58" display="https://www.youtube.com/@5enYT"/>
    <hyperlink ref="B60" r:id="rId59" display="https://www.youtube.com/@Swillo"/>
    <hyperlink ref="B61" r:id="rId60" display="https://www.youtube.com/@TreeckoBro"/>
    <hyperlink ref="B62" r:id="rId61" display="https://www.youtube.com/@zDamascus"/>
    <hyperlink ref="B63" r:id="rId62" display="https://www.youtube.com/@UnrivaledTournaments"/>
    <hyperlink ref="B64" r:id="rId63" display="https://www.youtube.com/@Homebrewedcup"/>
    <hyperlink ref="B65" r:id="rId64" display="https://www.youtube.com/@kuriejisyfer"/>
    <hyperlink ref="B66" r:id="rId65" display="https://www.youtube.com/@ATLFunkyP"/>
    <hyperlink ref="B67" r:id="rId66" display="https://www.youtube.com/@magpielabs"/>
    <hyperlink ref="B68" r:id="rId67" display="https://www.youtube.com/@nintendogames2589"/>
    <hyperlink ref="B69" r:id="rId68" display="https://www.youtube.com/@AnimeMirchiShorts"/>
    <hyperlink ref="B70" r:id="rId69" display="https://www.youtube.com/@SOUL_VIEW_3801"/>
    <hyperlink ref="B71" r:id="rId70" display="https://www.youtube.com/@Candyy248"/>
    <hyperlink ref="B72" r:id="rId71" display="https://www.youtube.com/@The_Ciple"/>
    <hyperlink ref="B73" r:id="rId72" display="https://www.youtube.com/@RaynKX"/>
    <hyperlink ref="B74" r:id="rId73" display="https://www.youtube.com/@%E3%81%8C%E3%81%AB%E3%81%93%E3%81%99%E3%83%81%E3%83%A3%E3%83%B3%E3%83%8D%E3%83%AB"/>
    <hyperlink ref="B75" r:id="rId74" display="https://www.youtube.com/@Muramishi"/>
    <hyperlink ref="B76" r:id="rId75" display="https://www.youtube.com/@MatchStickMelee"/>
    <hyperlink ref="B77" r:id="rId76" display="https://www.youtube.com/@dualdeathlucario4535"/>
    <hyperlink ref="B78" r:id="rId77" display="https://www.youtube.com/channel/UCGZEOe90REXy9I2RAngMQZw"/>
    <hyperlink ref="B79" r:id="rId78" display="https://www.youtube.com/@Jukem"/>
    <hyperlink ref="B80" r:id="rId79" display="https://www.youtube.com/@missingnovgc"/>
    <hyperlink ref="B81" r:id="rId80" display="https://www.youtube.com/@UGSGaming"/>
    <hyperlink ref="B82" r:id="rId81" display="https://www.youtube.com/@SonicNKnux"/>
    <hyperlink ref="B83" r:id="rId82" display="https://www.youtube.com/@NickIcyTails"/>
    <hyperlink ref="B84" r:id="rId83" display="https://www.youtube.com/@anotherblowncartridge"/>
    <hyperlink ref="B85" r:id="rId84" display="https://www.youtube.com/@BadIntent"/>
    <hyperlink ref="B86" r:id="rId85" display="https://www.youtube.com/@Shadowcat95"/>
    <hyperlink ref="B87" r:id="rId86" display="https://www.youtube.com/@Gengar.Believer"/>
    <hyperlink ref="B88" r:id="rId87" display="https://www.youtube.com/@Kazunoyo"/>
    <hyperlink ref="B89" r:id="rId88" display="https://www.youtube.com/@AIwithTomChen"/>
    <hyperlink ref="B90" r:id="rId89" display="https://www.youtube.com/@RingGamingg"/>
    <hyperlink ref="B91" r:id="rId90" display="https://www.youtube.com/@YakumoTakahiro"/>
    <hyperlink ref="B92" r:id="rId91" display="https://www.youtube.com/@xyl6814"/>
    <hyperlink ref="B93" r:id="rId92" display="https://www.youtube.com/@CoroUsamiCh"/>
    <hyperlink ref="B94" r:id="rId93" display="https://www.youtube.com/@DragonBlitzGEAR_5"/>
    <hyperlink ref="B95" r:id="rId94" display="https://www.youtube.com/@EuclaseArchive"/>
    <hyperlink ref="B96" r:id="rId95" display="https://www.youtube.com/@elm_motochika"/>
    <hyperlink ref="B97" r:id="rId96" display="https://www.youtube.com/@21Hits"/>
    <hyperlink ref="B98" r:id="rId97" display="https://www.youtube.com/@%E3%83%9D%E3%83%83%E6%8B%B3%E3%82%AB%E3%83%B3%E3%83%88%E3%83%BC%E3%83%88%E3%83%BC%E3%83%8A%E3%83%A1%E3%83%B3%E3%83%88"/>
    <hyperlink ref="B99" r:id="rId98" display="https://www.youtube.com/@supersaltshakers2140"/>
    <hyperlink ref="B100" r:id="rId99" display="https://www.youtube.com/@cloudnovalab"/>
    <hyperlink ref="B101" r:id="rId100" display="https://www.youtube.com/@LilhomieJuan"/>
    <hyperlink ref="B102" r:id="rId101" display="https://www.youtube.com/@Mewtater"/>
    <hyperlink ref="B103" r:id="rId102" display="https://www.youtube.com/@pokkensg9658"/>
    <hyperlink ref="B104" r:id="rId103" display="https://www.youtube.com/@faoperuption4832"/>
    <hyperlink ref="B105" r:id="rId104" display="https://www.youtube.com/@JamyAnimates"/>
    <hyperlink ref="B106" r:id="rId105" display="https://www.youtube.com/@AllisterSingh"/>
    <hyperlink ref="B107" r:id="rId106" display="https://www.youtube.com/@PokkenOCE"/>
    <hyperlink ref="B108" r:id="rId107" display="https://www.youtube.com/@RaitsukSage0NARUTO"/>
    <hyperlink ref="B109" r:id="rId108" display="https://www.youtube.com/@Poooll"/>
    <hyperlink ref="B110" r:id="rId109" display="https://www.youtube.com/@Steinsdomain"/>
    <hyperlink ref="B111" r:id="rId110" display="https://www.youtube.com/@BlameTheLagFGC"/>
    <hyperlink ref="B112" r:id="rId111" display="https://www.youtube.com/@%E3%81%AD%E3%81%9A%E3%81%BF_nezumi"/>
    <hyperlink ref="B113" r:id="rId112" display="https://www.youtube.com/@TheJinJourneys"/>
    <hyperlink ref="B114" r:id="rId113" display="https://www.youtube.com/@BronyFang"/>
    <hyperlink ref="B115" r:id="rId114" display="https://www.youtube.com/@pokkennet8277"/>
    <hyperlink ref="B116" r:id="rId115" display="https://www.youtube.com/@PuppyHavoc"/>
    <hyperlink ref="B117" r:id="rId116" display="https://www.youtube.com/@meowingtons8816"/>
    <hyperlink ref="B118" r:id="rId117" display="https://www.youtube.com/@Plume-i"/>
    <hyperlink ref="B119" r:id="rId118" display="https://www.youtube.com/@pokkennet8585"/>
    <hyperlink ref="B120" r:id="rId119" display="https://www.youtube.com/@PizzamonkeyFGC"/>
    <hyperlink ref="B121" r:id="rId120" display="https://www.youtube.co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2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2"/>
  </cols>
  <sheetData>
    <row r="1" customFormat="false" ht="17.35" hidden="false" customHeight="false" outlineLevel="0" collapsed="false">
      <c r="A1" s="15" t="s">
        <v>556</v>
      </c>
      <c r="B1" s="15"/>
      <c r="C1" s="15"/>
      <c r="D1" s="15"/>
    </row>
    <row r="3" customFormat="false" ht="15" hidden="false" customHeight="false" outlineLevel="0" collapsed="false">
      <c r="A3" s="16" t="s">
        <v>557</v>
      </c>
      <c r="B3" s="0" t="n">
        <f aca="false">COUNTA(Channels!A2:A122)</f>
        <v>120</v>
      </c>
    </row>
    <row r="4" customFormat="false" ht="15" hidden="false" customHeight="false" outlineLevel="0" collapsed="false">
      <c r="A4" s="16" t="s">
        <v>558</v>
      </c>
      <c r="B4" s="0" t="n">
        <f aca="false">COUNTIF(Channels!J2:J122,"JP")</f>
        <v>14</v>
      </c>
    </row>
    <row r="5" customFormat="false" ht="15" hidden="false" customHeight="false" outlineLevel="0" collapsed="false">
      <c r="A5" s="16" t="s">
        <v>559</v>
      </c>
      <c r="B5" s="0" t="n">
        <f aca="false">COUNTIF(Channels!J2:J122,"EN")</f>
        <v>106</v>
      </c>
    </row>
    <row r="6" customFormat="false" ht="15" hidden="false" customHeight="false" outlineLevel="0" collapsed="false">
      <c r="A6" s="16" t="s">
        <v>560</v>
      </c>
      <c r="B6" s="0" t="n">
        <f aca="false">COUNTIF(Channels!H2:H122,"Yes")</f>
        <v>7</v>
      </c>
    </row>
    <row r="7" customFormat="false" ht="15" hidden="false" customHeight="false" outlineLevel="0" collapsed="false">
      <c r="A7" s="16" t="s">
        <v>561</v>
      </c>
      <c r="B7" s="0" t="n">
        <f aca="false">COUNTIF(Channels!H2:H122,"Likely")</f>
        <v>21</v>
      </c>
    </row>
    <row r="8" customFormat="false" ht="15" hidden="false" customHeight="false" outlineLevel="0" collapsed="false">
      <c r="A8" s="16" t="s">
        <v>562</v>
      </c>
      <c r="B8" s="0" t="n">
        <f aca="false">COUNTIF(Channels!I2:I122,"Yes")</f>
        <v>4</v>
      </c>
    </row>
    <row r="9" customFormat="false" ht="15" hidden="false" customHeight="false" outlineLevel="0" collapsed="false">
      <c r="A9" s="16" t="s">
        <v>563</v>
      </c>
      <c r="B9" s="0" t="n">
        <f aca="false">MEDIAN(Channels!C2:C122)</f>
        <v>28500</v>
      </c>
    </row>
    <row r="10" customFormat="false" ht="15" hidden="false" customHeight="false" outlineLevel="0" collapsed="false">
      <c r="A10" s="16" t="s">
        <v>564</v>
      </c>
      <c r="B10" s="0" t="n">
        <f aca="false">SUM(Channels!C2:C122)</f>
        <v>76372919</v>
      </c>
    </row>
    <row r="13" customFormat="false" ht="15" hidden="false" customHeight="false" outlineLevel="0" collapsed="false">
      <c r="A13" s="17" t="s">
        <v>565</v>
      </c>
    </row>
    <row r="14" customFormat="false" ht="15" hidden="false" customHeight="false" outlineLevel="0" collapsed="false">
      <c r="A14" s="18" t="s">
        <v>566</v>
      </c>
    </row>
    <row r="15" customFormat="false" ht="15" hidden="false" customHeight="false" outlineLevel="0" collapsed="false">
      <c r="A15" s="18" t="s">
        <v>567</v>
      </c>
    </row>
    <row r="16" customFormat="false" ht="15" hidden="false" customHeight="false" outlineLevel="0" collapsed="false">
      <c r="A16" s="18" t="s">
        <v>568</v>
      </c>
    </row>
    <row r="17" customFormat="false" ht="15" hidden="false" customHeight="false" outlineLevel="0" collapsed="false">
      <c r="A17" s="18" t="s">
        <v>569</v>
      </c>
    </row>
    <row r="18" customFormat="false" ht="15" hidden="false" customHeight="false" outlineLevel="0" collapsed="false">
      <c r="A18" s="18"/>
    </row>
    <row r="19" customFormat="false" ht="15" hidden="false" customHeight="false" outlineLevel="0" collapsed="false">
      <c r="A19" s="18" t="s">
        <v>570</v>
      </c>
    </row>
    <row r="20" customFormat="false" ht="15" hidden="false" customHeight="false" outlineLevel="0" collapsed="false">
      <c r="A20" s="18" t="s">
        <v>571</v>
      </c>
    </row>
    <row r="21" customFormat="false" ht="15" hidden="false" customHeight="false" outlineLevel="0" collapsed="false">
      <c r="A21" s="18" t="s">
        <v>572</v>
      </c>
    </row>
    <row r="22" customFormat="false" ht="15" hidden="false" customHeight="false" outlineLevel="0" collapsed="false">
      <c r="A22" s="18"/>
    </row>
    <row r="23" customFormat="false" ht="15" hidden="false" customHeight="false" outlineLevel="0" collapsed="false">
      <c r="A23" s="18" t="s">
        <v>573</v>
      </c>
    </row>
    <row r="24" customFormat="false" ht="15" hidden="false" customHeight="false" outlineLevel="0" collapsed="false">
      <c r="A24" s="18" t="s">
        <v>574</v>
      </c>
    </row>
    <row r="25" customFormat="false" ht="15" hidden="false" customHeight="false" outlineLevel="0" collapsed="false">
      <c r="A25" s="18" t="s">
        <v>575</v>
      </c>
    </row>
    <row r="26" customFormat="false" ht="15" hidden="false" customHeight="false" outlineLevel="0" collapsed="false">
      <c r="A26" s="18" t="s">
        <v>576</v>
      </c>
    </row>
    <row r="27" customFormat="false" ht="15" hidden="false" customHeight="false" outlineLevel="0" collapsed="false">
      <c r="A27" s="18" t="s">
        <v>577</v>
      </c>
    </row>
    <row r="28" customFormat="false" ht="15" hidden="false" customHeight="false" outlineLevel="0" collapsed="false">
      <c r="A28" s="18"/>
    </row>
    <row r="29" customFormat="false" ht="15" hidden="false" customHeight="false" outlineLevel="0" collapsed="false">
      <c r="A29" s="18" t="s">
        <v>578</v>
      </c>
    </row>
    <row r="30" customFormat="false" ht="15" hidden="false" customHeight="false" outlineLevel="0" collapsed="false">
      <c r="A30" s="18" t="s">
        <v>579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2026-04-25T00:59:16Z</dcterms:created>
  <dc:creator>openpyxl</dc:creator>
  <dc:description/>
  <dc:language>en-US</dc:language>
  <cp:lastModifiedBy/>
  <dcterms:modified xsi:type="dcterms:W3CDTF">2026-04-25T00:59:16Z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